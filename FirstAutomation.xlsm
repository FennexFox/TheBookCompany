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ed4ae6c4da16017/업무/더북컴퍼니/"/>
    </mc:Choice>
  </mc:AlternateContent>
  <xr:revisionPtr revIDLastSave="9" documentId="8_{505C7AD8-6F8F-4304-BB64-D1BC639D6637}" xr6:coauthVersionLast="47" xr6:coauthVersionMax="47" xr10:uidLastSave="{A7F70956-C86E-46DC-9DE4-DE02ABB7659A}"/>
  <bookViews>
    <workbookView xWindow="-120" yWindow="-120" windowWidth="29040" windowHeight="15840" activeTab="1" xr2:uid="{5DCC1F41-3FA6-4650-896E-744C3F481256}"/>
  </bookViews>
  <sheets>
    <sheet name="보고서" sheetId="4" r:id="rId1"/>
    <sheet name="자료입력" sheetId="6" r:id="rId2"/>
    <sheet name="BackData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4" l="1"/>
  <c r="F7" i="4"/>
  <c r="E7" i="4"/>
  <c r="D7" i="4"/>
  <c r="G6" i="4"/>
  <c r="F6" i="4"/>
  <c r="E6" i="4"/>
  <c r="D6" i="4"/>
  <c r="C7" i="4"/>
  <c r="C6" i="4"/>
  <c r="G4" i="4"/>
  <c r="F4" i="4"/>
  <c r="E4" i="4"/>
  <c r="D4" i="4"/>
  <c r="C4" i="4"/>
  <c r="G3" i="4"/>
  <c r="F3" i="4"/>
  <c r="E3" i="4"/>
  <c r="D3" i="4"/>
  <c r="C3" i="4"/>
  <c r="AI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I103" i="5"/>
  <c r="AI104" i="5"/>
  <c r="AI105" i="5"/>
  <c r="AI106" i="5"/>
  <c r="AI107" i="5"/>
  <c r="AI108" i="5"/>
  <c r="AI109" i="5"/>
  <c r="AI110" i="5"/>
  <c r="AI111" i="5"/>
  <c r="AI112" i="5"/>
  <c r="AI113" i="5"/>
  <c r="AI114" i="5"/>
  <c r="AI115" i="5"/>
  <c r="AI116" i="5"/>
  <c r="AI117" i="5"/>
  <c r="AI118" i="5"/>
  <c r="AI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3" i="5"/>
</calcChain>
</file>

<file path=xl/sharedStrings.xml><?xml version="1.0" encoding="utf-8"?>
<sst xmlns="http://schemas.openxmlformats.org/spreadsheetml/2006/main" count="747" uniqueCount="511">
  <si>
    <t>열1</t>
  </si>
  <si>
    <t>샤넬</t>
  </si>
  <si>
    <t>에르메스</t>
  </si>
  <si>
    <t>디올</t>
  </si>
  <si>
    <t>루이비통</t>
  </si>
  <si>
    <t>프라다</t>
  </si>
  <si>
    <t>숨</t>
  </si>
  <si>
    <t>까르띠에</t>
  </si>
  <si>
    <t>후</t>
  </si>
  <si>
    <t>샤넬뷰티</t>
  </si>
  <si>
    <t>오휘</t>
  </si>
  <si>
    <t>에스티로더</t>
  </si>
  <si>
    <t>랑콤</t>
  </si>
  <si>
    <t>샤넬패션</t>
  </si>
  <si>
    <t>CNP Rx</t>
  </si>
  <si>
    <t>랄프로렌</t>
  </si>
  <si>
    <t>디올 패션</t>
  </si>
  <si>
    <t>구찌패션</t>
  </si>
  <si>
    <t>엘라스틴</t>
  </si>
  <si>
    <t>VDL</t>
  </si>
  <si>
    <t>빌리프</t>
  </si>
  <si>
    <t>오덴세</t>
  </si>
  <si>
    <t>복합브랜드</t>
  </si>
  <si>
    <t>설화수</t>
  </si>
  <si>
    <t>드롱기</t>
  </si>
  <si>
    <t>코오롱스포츠</t>
  </si>
  <si>
    <t>그림공작소</t>
  </si>
  <si>
    <t>몽클레어</t>
  </si>
  <si>
    <t>PCD</t>
  </si>
  <si>
    <t>비스포크</t>
  </si>
  <si>
    <t>론진</t>
  </si>
  <si>
    <t>투쿨포스쿨</t>
  </si>
  <si>
    <t>발렌티노</t>
  </si>
  <si>
    <t>코스메 데코르테</t>
  </si>
  <si>
    <t>냉장고</t>
  </si>
  <si>
    <t>반클리프 아펠</t>
  </si>
  <si>
    <t>펜디</t>
  </si>
  <si>
    <t>샤넬 쥬얼리</t>
  </si>
  <si>
    <t>아베다</t>
  </si>
  <si>
    <t>아이오페</t>
  </si>
  <si>
    <t>발렌시아가</t>
  </si>
  <si>
    <t>조말론</t>
  </si>
  <si>
    <t>에싸</t>
  </si>
  <si>
    <t>꼬달리</t>
  </si>
  <si>
    <t>막스마라</t>
  </si>
  <si>
    <t>스와로브스키</t>
  </si>
  <si>
    <t>어뮤즈</t>
  </si>
  <si>
    <t>라네즈</t>
  </si>
  <si>
    <t>리더스코스메틱</t>
  </si>
  <si>
    <t>스쿠</t>
  </si>
  <si>
    <t>나인위시스</t>
  </si>
  <si>
    <t>살바토레 페라가모</t>
  </si>
  <si>
    <t>메디힐</t>
  </si>
  <si>
    <t>커리쉴</t>
  </si>
  <si>
    <t>보테가베네타</t>
  </si>
  <si>
    <t>조르지오 아르마니</t>
  </si>
  <si>
    <t>코치</t>
  </si>
  <si>
    <t>버버리</t>
  </si>
  <si>
    <t>티파니</t>
  </si>
  <si>
    <t>혼수가전</t>
  </si>
  <si>
    <t>돌체앤가바나 뷰티</t>
  </si>
  <si>
    <t>비너스</t>
  </si>
  <si>
    <t>에스쁘아</t>
  </si>
  <si>
    <t>TV</t>
  </si>
  <si>
    <t>삼성전자 에어콘</t>
  </si>
  <si>
    <t>다이슨</t>
  </si>
  <si>
    <t>프레쉬</t>
  </si>
  <si>
    <t>블랑팡</t>
  </si>
  <si>
    <t>불가리</t>
  </si>
  <si>
    <t>에트로</t>
  </si>
  <si>
    <t>일리윤</t>
  </si>
  <si>
    <t>지베르니</t>
  </si>
  <si>
    <t>아웃백</t>
  </si>
  <si>
    <t>리모와</t>
  </si>
  <si>
    <t>메이크업포에버</t>
  </si>
  <si>
    <t>타사키</t>
  </si>
  <si>
    <t>브라이틀링</t>
  </si>
  <si>
    <t>쇼메</t>
  </si>
  <si>
    <t>수려한</t>
  </si>
  <si>
    <t>피지오겔</t>
  </si>
  <si>
    <t>룰 429</t>
  </si>
  <si>
    <t>로로피아나</t>
  </si>
  <si>
    <t>RMK</t>
  </si>
  <si>
    <t>해스텐스</t>
  </si>
  <si>
    <t>갤럭시S</t>
  </si>
  <si>
    <t>노엘로힐스</t>
  </si>
  <si>
    <t>모두바른</t>
  </si>
  <si>
    <t>믹순</t>
  </si>
  <si>
    <t>빌레로이앤보흐</t>
  </si>
  <si>
    <t>솔트레인</t>
  </si>
  <si>
    <t>어글리시크</t>
  </si>
  <si>
    <t>에리제론</t>
  </si>
  <si>
    <t>캠퍼스블라썸</t>
  </si>
  <si>
    <t>포슐라</t>
  </si>
  <si>
    <t>휴캄</t>
  </si>
  <si>
    <t>봄소와</t>
  </si>
  <si>
    <t>바이엘코리아</t>
  </si>
  <si>
    <t>부쉐론</t>
  </si>
  <si>
    <t>토니모리</t>
  </si>
  <si>
    <t>리바이리</t>
  </si>
  <si>
    <t>한샘</t>
  </si>
  <si>
    <t>YSL코스메틱</t>
  </si>
  <si>
    <t>폭스바겐</t>
  </si>
  <si>
    <t>딕셔니스트</t>
  </si>
  <si>
    <t>발리</t>
  </si>
  <si>
    <t>체이싱레빗</t>
  </si>
  <si>
    <t>홀리추얼</t>
  </si>
  <si>
    <t>ILE</t>
  </si>
  <si>
    <t>공기청정기</t>
  </si>
  <si>
    <t>루이스폴센</t>
  </si>
  <si>
    <t>뉴스킨</t>
  </si>
  <si>
    <t>유니드</t>
  </si>
  <si>
    <t>레고</t>
  </si>
  <si>
    <t>롯데카드</t>
  </si>
  <si>
    <t>리바이포유</t>
  </si>
  <si>
    <t>바이오던스</t>
  </si>
  <si>
    <t>샤넬워치</t>
  </si>
  <si>
    <t>세티나인</t>
  </si>
  <si>
    <t>아이소이</t>
  </si>
  <si>
    <t>오니츠카타이거</t>
  </si>
  <si>
    <t>파티온</t>
  </si>
  <si>
    <t>노르웨이수산물위원회</t>
  </si>
  <si>
    <t>몰테니앤씨</t>
  </si>
  <si>
    <t>아티스트리</t>
  </si>
  <si>
    <t>플렉스폼</t>
  </si>
  <si>
    <t>로렉스</t>
  </si>
  <si>
    <t>분양광고</t>
  </si>
  <si>
    <t>센시아</t>
  </si>
  <si>
    <t>샹테카이</t>
  </si>
  <si>
    <t>미냐</t>
  </si>
  <si>
    <t>샤넬향수</t>
  </si>
  <si>
    <t>에르메스 뷰티</t>
  </si>
  <si>
    <t>토즈</t>
  </si>
  <si>
    <t>구찌시계</t>
  </si>
  <si>
    <t>다미아니</t>
  </si>
  <si>
    <t>닥터그루트</t>
  </si>
  <si>
    <t>디디에두보</t>
  </si>
  <si>
    <t>몽블랑</t>
  </si>
  <si>
    <t>벨레다</t>
  </si>
  <si>
    <t>볼보</t>
  </si>
  <si>
    <t>셰프컬렉션</t>
  </si>
  <si>
    <t>시스터앤</t>
  </si>
  <si>
    <t>유세린</t>
  </si>
  <si>
    <t>이니스프리</t>
  </si>
  <si>
    <t>제이엠솔루션</t>
  </si>
  <si>
    <t>쥬스투클렌즈</t>
  </si>
  <si>
    <t>클라란스</t>
  </si>
  <si>
    <t>키네프</t>
  </si>
  <si>
    <t>타미힐피거</t>
  </si>
  <si>
    <t>파머시</t>
  </si>
  <si>
    <t>Bottega Veneta</t>
  </si>
  <si>
    <t>듀베티카</t>
  </si>
  <si>
    <t>선혁컬렉션</t>
  </si>
  <si>
    <t>팀삼성</t>
  </si>
  <si>
    <t>나스</t>
  </si>
  <si>
    <t>쁘렝땅</t>
  </si>
  <si>
    <t>오스트리아 관광청</t>
  </si>
  <si>
    <t>유나뷰스터</t>
  </si>
  <si>
    <t>GBH</t>
  </si>
  <si>
    <t>스메그</t>
  </si>
  <si>
    <t>A.H.C</t>
  </si>
  <si>
    <t>LX하우시스</t>
  </si>
  <si>
    <t>캐딜락</t>
  </si>
  <si>
    <t>Loro Piana</t>
  </si>
  <si>
    <t>쁘랭땅</t>
  </si>
  <si>
    <t>아넷사</t>
  </si>
  <si>
    <t>존쿡델리미트</t>
  </si>
  <si>
    <t>지방시뷰티</t>
  </si>
  <si>
    <t>포칼</t>
  </si>
  <si>
    <t>디폰데</t>
  </si>
  <si>
    <t>미우미우</t>
  </si>
  <si>
    <t>배스킨라빈스</t>
  </si>
  <si>
    <t>샬롯틸버리</t>
  </si>
  <si>
    <t>슬로우</t>
  </si>
  <si>
    <t>쌀롱드리</t>
  </si>
  <si>
    <t>쓰리</t>
  </si>
  <si>
    <t>아모스</t>
  </si>
  <si>
    <t>아크웰</t>
  </si>
  <si>
    <t>웅진코웨이</t>
  </si>
  <si>
    <t>자코모</t>
  </si>
  <si>
    <t>츠바키</t>
  </si>
  <si>
    <t>AGE 20's</t>
  </si>
  <si>
    <t>DKNY</t>
  </si>
  <si>
    <t>아띠끄디자인</t>
  </si>
  <si>
    <t>템퍼</t>
  </si>
  <si>
    <t>현대리바트</t>
  </si>
  <si>
    <t>리엔케이</t>
  </si>
  <si>
    <t>슈드레서</t>
  </si>
  <si>
    <t>HDC조명</t>
  </si>
  <si>
    <t>모로칸오일</t>
  </si>
  <si>
    <t>오에라</t>
  </si>
  <si>
    <t>K패션오디션</t>
  </si>
  <si>
    <t>메종 바로바우</t>
  </si>
  <si>
    <t>눅스</t>
  </si>
  <si>
    <t>대림산업</t>
  </si>
  <si>
    <t>데이코</t>
  </si>
  <si>
    <t>미노티</t>
  </si>
  <si>
    <t>불가리향수</t>
  </si>
  <si>
    <t>샤틴</t>
  </si>
  <si>
    <t>차울</t>
  </si>
  <si>
    <t>크리니크</t>
  </si>
  <si>
    <t>파넬</t>
  </si>
  <si>
    <t>핀코</t>
  </si>
  <si>
    <t>LG틔운</t>
  </si>
  <si>
    <t>에몬스</t>
  </si>
  <si>
    <t>엘지 휘센</t>
  </si>
  <si>
    <t>엘지티비</t>
  </si>
  <si>
    <t>레티놀</t>
  </si>
  <si>
    <t>리바이스</t>
  </si>
  <si>
    <t>비디비치</t>
  </si>
  <si>
    <t>BTS광고</t>
  </si>
  <si>
    <t>브라운</t>
  </si>
  <si>
    <t>비브</t>
  </si>
  <si>
    <t>구찌뷰티</t>
  </si>
  <si>
    <t>그레이멜린</t>
  </si>
  <si>
    <t>도쿄관광청</t>
  </si>
  <si>
    <t>돌체앤가바나</t>
  </si>
  <si>
    <t>디즈니</t>
  </si>
  <si>
    <t>르셀르</t>
  </si>
  <si>
    <t>메리몽드</t>
  </si>
  <si>
    <t>모에</t>
  </si>
  <si>
    <t>미래에셋</t>
  </si>
  <si>
    <t>살바르</t>
  </si>
  <si>
    <t>새티니크</t>
  </si>
  <si>
    <t>생로랑</t>
  </si>
  <si>
    <t>순플러스</t>
  </si>
  <si>
    <t>스킨그래머</t>
  </si>
  <si>
    <t>시몬스침대</t>
  </si>
  <si>
    <t>아쇼카</t>
  </si>
  <si>
    <t>아크네스</t>
  </si>
  <si>
    <t>엘지전자</t>
  </si>
  <si>
    <t>오리진스</t>
  </si>
  <si>
    <t>치즈협회</t>
  </si>
  <si>
    <t>퀘파소</t>
  </si>
  <si>
    <t>퓨토</t>
  </si>
  <si>
    <t>해피바스</t>
  </si>
  <si>
    <t>헉슬리</t>
  </si>
  <si>
    <t>휘센</t>
  </si>
  <si>
    <t>LG전자</t>
  </si>
  <si>
    <t>카누</t>
  </si>
  <si>
    <t>안데르센</t>
  </si>
  <si>
    <t>알로소</t>
  </si>
  <si>
    <t>코알라</t>
  </si>
  <si>
    <t>센카</t>
  </si>
  <si>
    <t>겔랑</t>
  </si>
  <si>
    <t>니들리</t>
  </si>
  <si>
    <t>무풍큐브</t>
  </si>
  <si>
    <t>비움효소</t>
  </si>
  <si>
    <t>시슬리</t>
  </si>
  <si>
    <t>에이스 에비뉴</t>
  </si>
  <si>
    <t>웨스트엘름</t>
  </si>
  <si>
    <t>토레</t>
  </si>
  <si>
    <t>JW메리어트서울</t>
  </si>
  <si>
    <t>삼성전자</t>
  </si>
  <si>
    <t>헤라</t>
  </si>
  <si>
    <t>펜디키즈</t>
  </si>
  <si>
    <t>가란시아</t>
  </si>
  <si>
    <t>닥터벨머</t>
  </si>
  <si>
    <t>디오스</t>
  </si>
  <si>
    <t>로즈몽</t>
  </si>
  <si>
    <t>벤스</t>
  </si>
  <si>
    <t>벨로테로</t>
  </si>
  <si>
    <t>오레오</t>
  </si>
  <si>
    <t>쟈딕앤볼테르</t>
  </si>
  <si>
    <t>조이그라이슨</t>
  </si>
  <si>
    <t>피아제</t>
  </si>
  <si>
    <t>휴그린</t>
  </si>
  <si>
    <t>버밀리안 남산</t>
  </si>
  <si>
    <t>노스페이스</t>
  </si>
  <si>
    <t>까사미아</t>
  </si>
  <si>
    <t>르노삼성자동차</t>
  </si>
  <si>
    <t>비티에스</t>
  </si>
  <si>
    <t>서울패션위크</t>
  </si>
  <si>
    <t>아리아나그란데</t>
  </si>
  <si>
    <t>하만</t>
  </si>
  <si>
    <t>JTI</t>
  </si>
  <si>
    <t>스마트 에어컨</t>
  </si>
  <si>
    <t>MCM</t>
  </si>
  <si>
    <t>메이커스 마크</t>
  </si>
  <si>
    <t>게스키즈</t>
  </si>
  <si>
    <t>데싱디바</t>
  </si>
  <si>
    <t>디어드라세나</t>
  </si>
  <si>
    <t>미샤</t>
  </si>
  <si>
    <t>비브라스</t>
  </si>
  <si>
    <t>아디르</t>
  </si>
  <si>
    <t>윌리엄스 소노마</t>
  </si>
  <si>
    <t>컬비</t>
  </si>
  <si>
    <t>플리세뜨</t>
  </si>
  <si>
    <t>현대자동차</t>
  </si>
  <si>
    <t>우디크</t>
  </si>
  <si>
    <t>락포트</t>
  </si>
  <si>
    <t>예거르쿨르트</t>
  </si>
  <si>
    <t>라메르</t>
  </si>
  <si>
    <t>끌로에 향수</t>
  </si>
  <si>
    <t>디어달리아</t>
  </si>
  <si>
    <t>버미큘라</t>
  </si>
  <si>
    <t>벤츠</t>
  </si>
  <si>
    <t>세라젬</t>
  </si>
  <si>
    <t>스마트 티비</t>
  </si>
  <si>
    <t>일렉트로룩스</t>
  </si>
  <si>
    <t>케이트 스페이드</t>
  </si>
  <si>
    <t>휘슬러</t>
  </si>
  <si>
    <t>서울우유</t>
  </si>
  <si>
    <t>그래놀라</t>
  </si>
  <si>
    <t>두산동아</t>
  </si>
  <si>
    <t>레이브</t>
  </si>
  <si>
    <t>맥아더아울렛</t>
  </si>
  <si>
    <t>몽클레르</t>
  </si>
  <si>
    <t>케라셀네일</t>
  </si>
  <si>
    <t>프레드</t>
  </si>
  <si>
    <t>한솔제지</t>
  </si>
  <si>
    <t>BNV</t>
  </si>
  <si>
    <t>BOCCI</t>
  </si>
  <si>
    <t>맥</t>
  </si>
  <si>
    <t>아우디</t>
  </si>
  <si>
    <t>그라비티</t>
  </si>
  <si>
    <t>대림아크로갤러리</t>
  </si>
  <si>
    <t>스킨수티컬즈</t>
  </si>
  <si>
    <t>프리츠한센</t>
  </si>
  <si>
    <t>한국투자증권</t>
  </si>
  <si>
    <t>시글로</t>
  </si>
  <si>
    <t>파크하얏트</t>
  </si>
  <si>
    <t>포스트</t>
  </si>
  <si>
    <t>auping</t>
  </si>
  <si>
    <t>SM6</t>
  </si>
  <si>
    <t>vipp</t>
  </si>
  <si>
    <t>공예진흥원</t>
  </si>
  <si>
    <t>세솟는정형외과</t>
  </si>
  <si>
    <t>동아일보</t>
  </si>
  <si>
    <t>실큰</t>
  </si>
  <si>
    <t>제시</t>
  </si>
  <si>
    <t>케탈</t>
  </si>
  <si>
    <t>모닝</t>
  </si>
  <si>
    <t>일동후디스</t>
  </si>
  <si>
    <t>네스카페</t>
  </si>
  <si>
    <t>파라킷</t>
  </si>
  <si>
    <t>뉴트리불렛</t>
  </si>
  <si>
    <t>뮤테누토</t>
  </si>
  <si>
    <t>블리블리</t>
  </si>
  <si>
    <t>그로바나</t>
  </si>
  <si>
    <t>꺄사렐</t>
  </si>
  <si>
    <t>끌로디피에르</t>
  </si>
  <si>
    <t>나르시소</t>
  </si>
  <si>
    <t>나르시소로드리게즈</t>
  </si>
  <si>
    <t>넘버즈인</t>
  </si>
  <si>
    <t>네스프레소</t>
  </si>
  <si>
    <t>네이처리퍼블릭</t>
  </si>
  <si>
    <t>넥시스</t>
  </si>
  <si>
    <t>뉴트리라이트</t>
  </si>
  <si>
    <t>다비네스</t>
  </si>
  <si>
    <t>다우림</t>
  </si>
  <si>
    <t>달바</t>
  </si>
  <si>
    <t>더말로지카</t>
  </si>
  <si>
    <t>더캐시미어</t>
  </si>
  <si>
    <t>디사모빌리</t>
  </si>
  <si>
    <t>디올 뷰티</t>
  </si>
  <si>
    <t>디올 쥬얼리</t>
  </si>
  <si>
    <t>디유아모르</t>
  </si>
  <si>
    <t>라도</t>
  </si>
  <si>
    <t>라이크 와이즈</t>
  </si>
  <si>
    <t>라이크와이즈</t>
  </si>
  <si>
    <t>라타플랑</t>
  </si>
  <si>
    <t>라프레리</t>
  </si>
  <si>
    <t>랑카스터</t>
  </si>
  <si>
    <t>래트바이티</t>
  </si>
  <si>
    <t>레니본</t>
  </si>
  <si>
    <t>레스포색</t>
  </si>
  <si>
    <t>레오나드</t>
  </si>
  <si>
    <t>레츄얼</t>
  </si>
  <si>
    <t>레페토</t>
  </si>
  <si>
    <t>로슐츠</t>
  </si>
  <si>
    <t>롤리타램피카</t>
  </si>
  <si>
    <t>루에브로</t>
  </si>
  <si>
    <t>루젠</t>
  </si>
  <si>
    <t>루치펠로</t>
  </si>
  <si>
    <t>루카</t>
  </si>
  <si>
    <t>르꼬끄 스포르티브</t>
  </si>
  <si>
    <t>리앤케이</t>
  </si>
  <si>
    <t>마리끌레르패션</t>
  </si>
  <si>
    <t>마리메꼬</t>
  </si>
  <si>
    <t>마쥬</t>
  </si>
  <si>
    <t>만다리나덕</t>
  </si>
  <si>
    <t>매트리스</t>
  </si>
  <si>
    <t>멀버리</t>
  </si>
  <si>
    <t>메이크프램</t>
  </si>
  <si>
    <t>모이에토이</t>
  </si>
  <si>
    <t>몰리큘</t>
  </si>
  <si>
    <t>뮤럴</t>
  </si>
  <si>
    <t>미국 축산 협회</t>
  </si>
  <si>
    <t>미육류협회</t>
  </si>
  <si>
    <t>바이오오일</t>
  </si>
  <si>
    <t>발쿠치네</t>
  </si>
  <si>
    <t>배즙</t>
  </si>
  <si>
    <t>베르사체</t>
  </si>
  <si>
    <t>벨루티</t>
  </si>
  <si>
    <t>브리스톤</t>
  </si>
  <si>
    <t>비비팤</t>
  </si>
  <si>
    <t>빌라드파넬</t>
  </si>
  <si>
    <t>산드로</t>
  </si>
  <si>
    <t>산심</t>
  </si>
  <si>
    <t>삼성청소기</t>
  </si>
  <si>
    <t>셀루이</t>
  </si>
  <si>
    <t>셀프포트레잇</t>
  </si>
  <si>
    <t>쇼트세란</t>
  </si>
  <si>
    <t>쇼파드</t>
  </si>
  <si>
    <t>스우프</t>
  </si>
  <si>
    <t>스킨알엑스</t>
  </si>
  <si>
    <t>스파이더</t>
  </si>
  <si>
    <t>시스템</t>
  </si>
  <si>
    <t>시카디자인</t>
  </si>
  <si>
    <t>아델앤코</t>
  </si>
  <si>
    <t>아쉬</t>
  </si>
  <si>
    <t>아식스</t>
  </si>
  <si>
    <t>아이데뉴</t>
  </si>
  <si>
    <t>아이뽀</t>
  </si>
  <si>
    <t>아템포</t>
  </si>
  <si>
    <t>야마하골프</t>
  </si>
  <si>
    <t>에스티로더 핑크리본</t>
  </si>
  <si>
    <t>에코</t>
  </si>
  <si>
    <t>에피그램</t>
  </si>
  <si>
    <t>엘레쎄</t>
  </si>
  <si>
    <t>엠디루사</t>
  </si>
  <si>
    <t>연작</t>
  </si>
  <si>
    <t>예거르쿨트르</t>
  </si>
  <si>
    <t>오브제</t>
  </si>
  <si>
    <t>올세인츠</t>
  </si>
  <si>
    <t>원플러</t>
  </si>
  <si>
    <t>웨스트우드</t>
  </si>
  <si>
    <t>유니클로</t>
  </si>
  <si>
    <t>유로모빌</t>
  </si>
  <si>
    <t>유리아쥬</t>
  </si>
  <si>
    <t>이에르로르</t>
  </si>
  <si>
    <t>이자벨마랑</t>
  </si>
  <si>
    <t>일룸</t>
  </si>
  <si>
    <t>잇츠스킨</t>
  </si>
  <si>
    <t>제니하우스코스메틱</t>
  </si>
  <si>
    <t>제이에스티나</t>
  </si>
  <si>
    <t>존바바토스</t>
  </si>
  <si>
    <t>존쿡 델리미트</t>
  </si>
  <si>
    <t>죠르제티</t>
  </si>
  <si>
    <t>주크</t>
  </si>
  <si>
    <t>쥬비덤</t>
  </si>
  <si>
    <t>지누스</t>
  </si>
  <si>
    <t>지비시</t>
  </si>
  <si>
    <t>칼앤한스</t>
  </si>
  <si>
    <t>케리스 노트</t>
  </si>
  <si>
    <t>켄우드</t>
  </si>
  <si>
    <t>코모노</t>
  </si>
  <si>
    <t>코웨이클린워셔</t>
  </si>
  <si>
    <t>크리스피바바</t>
  </si>
  <si>
    <t>클라뷰</t>
  </si>
  <si>
    <t>클린</t>
  </si>
  <si>
    <t>타임</t>
  </si>
  <si>
    <t>태그호이어</t>
  </si>
  <si>
    <t>터치랜드</t>
  </si>
  <si>
    <t>테라건</t>
  </si>
  <si>
    <t>토마토즙</t>
  </si>
  <si>
    <t>토카</t>
  </si>
  <si>
    <t>톨릭스</t>
  </si>
  <si>
    <t>티쏘</t>
  </si>
  <si>
    <t>파이토코어</t>
  </si>
  <si>
    <t>팬더우즈</t>
  </si>
  <si>
    <t>포니이팩트</t>
  </si>
  <si>
    <t>포도클럽</t>
  </si>
  <si>
    <t>플로리스</t>
  </si>
  <si>
    <t>피지워터</t>
  </si>
  <si>
    <t>핑크포니</t>
  </si>
  <si>
    <t>헬렌카민스키</t>
  </si>
  <si>
    <t>e15</t>
  </si>
  <si>
    <t>EUI</t>
  </si>
  <si>
    <t>JR 샴푸바</t>
  </si>
  <si>
    <t>NCP</t>
  </si>
  <si>
    <t>SI 뷰티</t>
  </si>
  <si>
    <t>TON</t>
  </si>
  <si>
    <t>브랜드</t>
  </si>
  <si>
    <t>브랜드</t>
    <phoneticPr fontId="1" type="noConversion"/>
  </si>
  <si>
    <t>게재액</t>
  </si>
  <si>
    <t>게재액</t>
    <phoneticPr fontId="1" type="noConversion"/>
  </si>
  <si>
    <t>선매상취소</t>
  </si>
  <si>
    <t>선매상취소</t>
    <phoneticPr fontId="1" type="noConversion"/>
  </si>
  <si>
    <t>게재조정</t>
  </si>
  <si>
    <t>게재조정</t>
    <phoneticPr fontId="1" type="noConversion"/>
  </si>
  <si>
    <t>게재실적</t>
  </si>
  <si>
    <t>게재실적</t>
    <phoneticPr fontId="1" type="noConversion"/>
  </si>
  <si>
    <t>선매상</t>
  </si>
  <si>
    <t>선매상</t>
    <phoneticPr fontId="1" type="noConversion"/>
  </si>
  <si>
    <t>매출액</t>
  </si>
  <si>
    <t>매출액</t>
    <phoneticPr fontId="1" type="noConversion"/>
  </si>
  <si>
    <t>수금액</t>
  </si>
  <si>
    <t>수금액</t>
    <phoneticPr fontId="1" type="noConversion"/>
  </si>
  <si>
    <t>대행수수료</t>
  </si>
  <si>
    <t>대행수수료</t>
    <phoneticPr fontId="1" type="noConversion"/>
  </si>
  <si>
    <t>CNP RX</t>
  </si>
  <si>
    <t>열1</t>
    <phoneticPr fontId="1" type="noConversion"/>
  </si>
  <si>
    <t>마리 21</t>
    <phoneticPr fontId="1" type="noConversion"/>
  </si>
  <si>
    <t>마리20</t>
    <phoneticPr fontId="1" type="noConversion"/>
  </si>
  <si>
    <t>메종21</t>
    <phoneticPr fontId="1" type="noConversion"/>
  </si>
  <si>
    <t>메종20</t>
    <phoneticPr fontId="1" type="noConversion"/>
  </si>
  <si>
    <t>매체1</t>
    <phoneticPr fontId="1" type="noConversion"/>
  </si>
  <si>
    <t>매체2</t>
    <phoneticPr fontId="1" type="noConversion"/>
  </si>
  <si>
    <t>브랜드1</t>
    <phoneticPr fontId="1" type="noConversion"/>
  </si>
  <si>
    <t>브랜드2</t>
    <phoneticPr fontId="1" type="noConversion"/>
  </si>
  <si>
    <t>브랜드3</t>
  </si>
  <si>
    <t>브랜드4</t>
  </si>
  <si>
    <t>브랜드5</t>
  </si>
  <si>
    <t>년도1</t>
    <phoneticPr fontId="1" type="noConversion"/>
  </si>
  <si>
    <t>년도2</t>
    <phoneticPr fontId="1" type="noConversion"/>
  </si>
  <si>
    <t>매체명:</t>
    <phoneticPr fontId="1" type="noConversion"/>
  </si>
  <si>
    <t>년도:</t>
    <phoneticPr fontId="1" type="noConversion"/>
  </si>
  <si>
    <t>B5행에 커서를 놓고 데이터를 붙여넣으세요</t>
    <phoneticPr fontId="1" type="noConversion"/>
  </si>
  <si>
    <t>브랜드: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</si>
</sst>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53B473-9A5C-4044-BA5B-8AFACBD75417}" name="마리21" displayName="마리21" ref="A2:J242" totalsRowShown="0">
  <autoFilter ref="A2:J242" xr:uid="{FB53B473-9A5C-4044-BA5B-8AFACBD75417}"/>
  <tableColumns count="10">
    <tableColumn id="1" xr3:uid="{C20C37D6-5C78-4A92-A3CB-A9738C8DA187}" name="브랜드"/>
    <tableColumn id="2" xr3:uid="{0DB6AB30-6397-4B9E-AC2F-A890FC9E2FC6}" name="열1">
      <calculatedColumnFormula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calculatedColumnFormula>
    </tableColumn>
    <tableColumn id="3" xr3:uid="{5E6309BE-1B92-43BB-8FEA-CA5911B538D7}" name="게재액"/>
    <tableColumn id="4" xr3:uid="{DFAD1807-107C-467E-AD42-8A0753184722}" name="선매상취소"/>
    <tableColumn id="5" xr3:uid="{46472134-E829-4C72-8C0B-CFE2FB7614AE}" name="게재조정"/>
    <tableColumn id="6" xr3:uid="{35C0F5D6-D193-45D3-9E60-B22E4A902480}" name="게재실적"/>
    <tableColumn id="7" xr3:uid="{723E6ABE-7BFF-419F-8544-68EF4C35921E}" name="선매상"/>
    <tableColumn id="8" xr3:uid="{A12A5073-8908-424D-8879-980048C20461}" name="매출액"/>
    <tableColumn id="9" xr3:uid="{A86E6278-C532-40DF-AE68-B304ED1D6115}" name="수금액"/>
    <tableColumn id="10" xr3:uid="{1E18A28D-D7CE-4BAD-BEA5-F6FC722527AA}" name="대행수수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7562D1-CCC1-4F02-AC79-54D8276ED40A}" name="마리20" displayName="마리20" ref="L2:U225" totalsRowShown="0">
  <autoFilter ref="L2:U225" xr:uid="{E37562D1-CCC1-4F02-AC79-54D8276ED40A}"/>
  <tableColumns count="10">
    <tableColumn id="1" xr3:uid="{A7385CC8-5573-4786-A770-DD85AE027C48}" name="브랜드"/>
    <tableColumn id="2" xr3:uid="{4B4D412D-A424-4F38-A9DF-B558FD3E0CF4}" name="열1">
      <calculatedColumnFormula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calculatedColumnFormula>
    </tableColumn>
    <tableColumn id="3" xr3:uid="{FC6E8EB2-09BF-4905-8454-2D76B5D4C48C}" name="게재액"/>
    <tableColumn id="4" xr3:uid="{35BB8B5B-6989-4AD6-BF20-91BCE32821A9}" name="선매상취소"/>
    <tableColumn id="5" xr3:uid="{75CC88D4-4FA9-43D1-A31A-671F3103AD74}" name="게재조정"/>
    <tableColumn id="6" xr3:uid="{C558E164-0227-45C9-B3FB-C33675E80051}" name="게재실적"/>
    <tableColumn id="7" xr3:uid="{6E0A230B-2D5C-435E-A492-CEE5D31E893D}" name="선매상"/>
    <tableColumn id="8" xr3:uid="{D7785BF2-4C1E-4D14-94F0-7F2BA77D8B7C}" name="매출액"/>
    <tableColumn id="9" xr3:uid="{4AF8EAFF-2BB0-4D74-AC81-BE78F1496B0C}" name="수금액"/>
    <tableColumn id="10" xr3:uid="{26D02FFD-B8C0-480D-9E04-EE0C0E63603B}" name="대행수수료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CFC215-E79B-4836-AB14-4BF6BBE7476C}" name="메종21" displayName="메종21" ref="W2:AF111" totalsRowShown="0">
  <autoFilter ref="W2:AF111" xr:uid="{C0CFC215-E79B-4836-AB14-4BF6BBE7476C}"/>
  <tableColumns count="10">
    <tableColumn id="1" xr3:uid="{2DE82706-65CF-4FC3-855C-195577A19829}" name="브랜드"/>
    <tableColumn id="2" xr3:uid="{FD2BF0B6-66B4-4914-9EB7-1B81DAB31822}" name="열1">
      <calculatedColumnFormula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calculatedColumnFormula>
    </tableColumn>
    <tableColumn id="3" xr3:uid="{12367C3D-D274-4F15-A648-292D21A33B05}" name="게재액"/>
    <tableColumn id="4" xr3:uid="{7E1C240A-B946-47BC-AB74-C4016D059A73}" name="선매상취소"/>
    <tableColumn id="5" xr3:uid="{1CA95E23-3A32-4847-A360-EBA183CF44A4}" name="게재조정"/>
    <tableColumn id="6" xr3:uid="{E0F77F39-79F7-4AED-8CCA-5C7FCD22AD60}" name="게재실적"/>
    <tableColumn id="7" xr3:uid="{9DD3AFB9-4E5A-4AD0-A6F8-56552244B428}" name="선매상"/>
    <tableColumn id="8" xr3:uid="{D85AFAC8-D9C7-4BE1-A048-144169770BB9}" name="매출액"/>
    <tableColumn id="9" xr3:uid="{C00D82E8-0CD5-44A2-AF97-CF1E9418F0C7}" name="수금액"/>
    <tableColumn id="10" xr3:uid="{043A958E-24DB-4D49-A95D-FB5B962CD3E4}" name="대행수수료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78242F7-AC46-46A0-A69D-36EDB8095C5E}" name="메종20" displayName="메종20" ref="AH2:AQ118" totalsRowShown="0">
  <autoFilter ref="AH2:AQ118" xr:uid="{F78242F7-AC46-46A0-A69D-36EDB8095C5E}"/>
  <tableColumns count="10">
    <tableColumn id="1" xr3:uid="{7B5B9C25-2F66-4D27-8D2A-8970E6A8CF91}" name="브랜드"/>
    <tableColumn id="2" xr3:uid="{8F2FB480-47C8-47C7-BF81-1524080AFBC7}" name="열1">
      <calculatedColumnFormula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calculatedColumnFormula>
    </tableColumn>
    <tableColumn id="3" xr3:uid="{EA462A15-67E1-4603-B879-0DD8FB8B046B}" name="게재액"/>
    <tableColumn id="4" xr3:uid="{7679054A-8FC9-4105-948D-543B1E99A916}" name="선매상취소"/>
    <tableColumn id="5" xr3:uid="{F51C31A5-26D0-4DB9-BCED-EE9D4CAE9AF8}" name="게재조정"/>
    <tableColumn id="6" xr3:uid="{B5F7E924-2B88-4492-AD3D-C81B9688FF0F}" name="게재실적"/>
    <tableColumn id="7" xr3:uid="{347E130D-96A2-48CC-9A2A-E28D54F44B2D}" name="선매상"/>
    <tableColumn id="8" xr3:uid="{CA8BC34B-8470-4BD4-B818-6B01158165BC}" name="매출액"/>
    <tableColumn id="9" xr3:uid="{8EE91412-87EF-4D9D-9C50-A6A8F841B850}" name="수금액"/>
    <tableColumn id="10" xr3:uid="{03B4CF3B-825F-42FF-80D0-8B4F86BCCE1C}" name="대행수수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74822-EF3F-44BB-AD88-F7BC548B10AC}">
  <sheetPr codeName="Sheet1"/>
  <dimension ref="B1:G7"/>
  <sheetViews>
    <sheetView workbookViewId="0">
      <selection activeCell="G6" sqref="G6"/>
    </sheetView>
  </sheetViews>
  <sheetFormatPr defaultRowHeight="16.5" x14ac:dyDescent="0.3"/>
  <cols>
    <col min="3" max="3" width="13.625" bestFit="1" customWidth="1"/>
    <col min="4" max="4" width="12.125" bestFit="1" customWidth="1"/>
    <col min="5" max="7" width="11" bestFit="1" customWidth="1"/>
  </cols>
  <sheetData>
    <row r="1" spans="2:7" x14ac:dyDescent="0.3">
      <c r="C1" t="s">
        <v>500</v>
      </c>
      <c r="D1" t="s">
        <v>501</v>
      </c>
      <c r="E1" t="s">
        <v>502</v>
      </c>
      <c r="F1" t="s">
        <v>503</v>
      </c>
      <c r="G1" t="s">
        <v>504</v>
      </c>
    </row>
    <row r="2" spans="2:7" x14ac:dyDescent="0.3">
      <c r="B2" s="2" t="s">
        <v>505</v>
      </c>
      <c r="C2" s="2"/>
      <c r="D2" s="2"/>
      <c r="E2" s="2"/>
      <c r="F2" s="2"/>
      <c r="G2" s="2"/>
    </row>
    <row r="3" spans="2:7" x14ac:dyDescent="0.3">
      <c r="B3" t="s">
        <v>498</v>
      </c>
      <c r="C3" s="1">
        <f>SUMIF(마리20[브랜드],C$1,마리20[게재액])/1000</f>
        <v>0</v>
      </c>
      <c r="D3" s="1">
        <f>SUMIF(마리20[브랜드],D$1,마리20[게재액])/1000</f>
        <v>0</v>
      </c>
      <c r="E3" s="1">
        <f>SUMIF(마리20[브랜드],E$1,마리20[게재액])/1000</f>
        <v>0</v>
      </c>
      <c r="F3" s="1">
        <f>SUMIF(마리20[브랜드],F$1,마리20[게재액])/1000</f>
        <v>0</v>
      </c>
      <c r="G3" s="1">
        <f>SUMIF(마리20[브랜드],G$1,마리20[게재액])/1000</f>
        <v>0</v>
      </c>
    </row>
    <row r="4" spans="2:7" x14ac:dyDescent="0.3">
      <c r="B4" t="s">
        <v>499</v>
      </c>
      <c r="C4" s="1">
        <f>SUMIF(마리21[브랜드],C$1,마리21[게재액])/1000</f>
        <v>0</v>
      </c>
      <c r="D4" s="1">
        <f>SUMIF(마리21[브랜드],D$1,마리21[게재액])/1000</f>
        <v>0</v>
      </c>
      <c r="E4" s="1">
        <f>SUMIF(마리21[브랜드],E$1,마리21[게재액])/1000</f>
        <v>0</v>
      </c>
      <c r="F4" s="1">
        <f>SUMIF(마리21[브랜드],F$1,마리21[게재액])/1000</f>
        <v>0</v>
      </c>
      <c r="G4" s="1">
        <f>SUMIF(마리21[브랜드],G$1,마리21[게재액])/1000</f>
        <v>0</v>
      </c>
    </row>
    <row r="5" spans="2:7" x14ac:dyDescent="0.3">
      <c r="B5" s="2" t="s">
        <v>506</v>
      </c>
      <c r="C5" s="2"/>
      <c r="D5" s="2"/>
      <c r="E5" s="2"/>
      <c r="F5" s="2"/>
      <c r="G5" s="2"/>
    </row>
    <row r="6" spans="2:7" x14ac:dyDescent="0.3">
      <c r="B6" t="s">
        <v>498</v>
      </c>
      <c r="C6" s="1">
        <f>SUMIF(메종20[브랜드],C$1,메종20[게재액])/1000</f>
        <v>0</v>
      </c>
      <c r="D6" s="1">
        <f>SUMIF(메종20[브랜드],D$1,메종20[게재액])/1000</f>
        <v>0</v>
      </c>
      <c r="E6" s="1">
        <f>SUMIF(메종20[브랜드],E$1,메종20[게재액])/1000</f>
        <v>0</v>
      </c>
      <c r="F6" s="1">
        <f>SUMIF(메종20[브랜드],F$1,메종20[게재액])/1000</f>
        <v>0</v>
      </c>
      <c r="G6" s="1">
        <f>SUMIF(메종20[브랜드],G$1,메종20[게재액])/1000</f>
        <v>0</v>
      </c>
    </row>
    <row r="7" spans="2:7" x14ac:dyDescent="0.3">
      <c r="B7" t="s">
        <v>499</v>
      </c>
      <c r="C7" s="1">
        <f>SUMIF(메종21[브랜드],C$1,메종21[게재액])/1000</f>
        <v>0</v>
      </c>
      <c r="D7" s="1">
        <f>SUMIF(메종21[브랜드],D$1,메종21[게재액])/1000</f>
        <v>0</v>
      </c>
      <c r="E7" s="1">
        <f>SUMIF(메종21[브랜드],E$1,메종21[게재액])/1000</f>
        <v>0</v>
      </c>
      <c r="F7" s="1">
        <f>SUMIF(메종21[브랜드],F$1,메종21[게재액])/1000</f>
        <v>0</v>
      </c>
      <c r="G7" s="1">
        <f>SUMIF(메종21[브랜드],G$1,메종21[게재액])/1000</f>
        <v>0</v>
      </c>
    </row>
  </sheetData>
  <mergeCells count="2">
    <mergeCell ref="B2:G2"/>
    <mergeCell ref="B5:G5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64A48-D841-489D-89F8-8D61FBB6A99B}">
  <sheetPr codeName="Sheet2"/>
  <dimension ref="B2:F3"/>
  <sheetViews>
    <sheetView tabSelected="1" workbookViewId="0">
      <selection activeCell="F3" sqref="F3"/>
    </sheetView>
  </sheetViews>
  <sheetFormatPr defaultRowHeight="16.5" x14ac:dyDescent="0.3"/>
  <sheetData>
    <row r="2" spans="2:6" x14ac:dyDescent="0.3">
      <c r="B2" t="s">
        <v>507</v>
      </c>
      <c r="D2" t="s">
        <v>508</v>
      </c>
      <c r="F2" t="s">
        <v>510</v>
      </c>
    </row>
    <row r="3" spans="2:6" x14ac:dyDescent="0.3">
      <c r="B3" t="s">
        <v>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843F4-5591-4822-84CB-CFE5CAAB1FDF}">
  <sheetPr codeName="Sheet3"/>
  <dimension ref="A1:AQ242"/>
  <sheetViews>
    <sheetView workbookViewId="0">
      <selection activeCell="C7" sqref="C7"/>
    </sheetView>
  </sheetViews>
  <sheetFormatPr defaultRowHeight="16.5" x14ac:dyDescent="0.3"/>
  <cols>
    <col min="3" max="3" width="10.5" bestFit="1" customWidth="1"/>
    <col min="4" max="5" width="10.25" bestFit="1" customWidth="1"/>
    <col min="6" max="6" width="10.5" bestFit="1" customWidth="1"/>
    <col min="7" max="7" width="9.5" bestFit="1" customWidth="1"/>
    <col min="8" max="9" width="10.5" bestFit="1" customWidth="1"/>
    <col min="10" max="10" width="9.5" bestFit="1" customWidth="1"/>
    <col min="37" max="37" width="12.125" customWidth="1"/>
    <col min="38" max="39" width="10.25" customWidth="1"/>
    <col min="43" max="43" width="12.125" customWidth="1"/>
  </cols>
  <sheetData>
    <row r="1" spans="1:43" x14ac:dyDescent="0.3">
      <c r="A1" t="s">
        <v>494</v>
      </c>
      <c r="L1" t="s">
        <v>495</v>
      </c>
      <c r="W1" t="s">
        <v>496</v>
      </c>
      <c r="AH1" t="s">
        <v>497</v>
      </c>
    </row>
    <row r="2" spans="1:43" x14ac:dyDescent="0.3">
      <c r="A2" t="s">
        <v>475</v>
      </c>
      <c r="B2" t="s">
        <v>493</v>
      </c>
      <c r="C2" t="s">
        <v>477</v>
      </c>
      <c r="D2" t="s">
        <v>479</v>
      </c>
      <c r="E2" t="s">
        <v>481</v>
      </c>
      <c r="F2" t="s">
        <v>483</v>
      </c>
      <c r="G2" t="s">
        <v>485</v>
      </c>
      <c r="H2" t="s">
        <v>487</v>
      </c>
      <c r="I2" t="s">
        <v>489</v>
      </c>
      <c r="J2" t="s">
        <v>491</v>
      </c>
      <c r="L2" t="s">
        <v>474</v>
      </c>
      <c r="M2" t="s">
        <v>0</v>
      </c>
      <c r="N2" t="s">
        <v>476</v>
      </c>
      <c r="O2" t="s">
        <v>478</v>
      </c>
      <c r="P2" t="s">
        <v>480</v>
      </c>
      <c r="Q2" t="s">
        <v>482</v>
      </c>
      <c r="R2" t="s">
        <v>484</v>
      </c>
      <c r="S2" t="s">
        <v>486</v>
      </c>
      <c r="T2" t="s">
        <v>488</v>
      </c>
      <c r="U2" t="s">
        <v>490</v>
      </c>
      <c r="W2" t="s">
        <v>474</v>
      </c>
      <c r="X2" t="s">
        <v>0</v>
      </c>
      <c r="Y2" t="s">
        <v>476</v>
      </c>
      <c r="Z2" t="s">
        <v>478</v>
      </c>
      <c r="AA2" t="s">
        <v>480</v>
      </c>
      <c r="AB2" t="s">
        <v>482</v>
      </c>
      <c r="AC2" t="s">
        <v>484</v>
      </c>
      <c r="AD2" t="s">
        <v>486</v>
      </c>
      <c r="AE2" t="s">
        <v>488</v>
      </c>
      <c r="AF2" t="s">
        <v>490</v>
      </c>
      <c r="AH2" t="s">
        <v>474</v>
      </c>
      <c r="AI2" t="s">
        <v>0</v>
      </c>
      <c r="AJ2" t="s">
        <v>476</v>
      </c>
      <c r="AK2" t="s">
        <v>478</v>
      </c>
      <c r="AL2" t="s">
        <v>480</v>
      </c>
      <c r="AM2" t="s">
        <v>482</v>
      </c>
      <c r="AN2" t="s">
        <v>484</v>
      </c>
      <c r="AO2" t="s">
        <v>486</v>
      </c>
      <c r="AP2" t="s">
        <v>488</v>
      </c>
      <c r="AQ2" t="s">
        <v>490</v>
      </c>
    </row>
    <row r="3" spans="1:43" x14ac:dyDescent="0.3">
      <c r="A3" t="s">
        <v>9</v>
      </c>
      <c r="B3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샤넬</v>
      </c>
      <c r="C3">
        <v>200800000</v>
      </c>
      <c r="D3">
        <v>-93000000</v>
      </c>
      <c r="E3">
        <v>-46650000</v>
      </c>
      <c r="F3">
        <v>61150000</v>
      </c>
      <c r="G3">
        <v>88000000</v>
      </c>
      <c r="H3">
        <v>149150000</v>
      </c>
      <c r="I3">
        <v>164065000</v>
      </c>
      <c r="J3">
        <v>0</v>
      </c>
      <c r="L3" t="s">
        <v>8</v>
      </c>
      <c r="M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">
        <v>174000000</v>
      </c>
      <c r="O3">
        <v>0</v>
      </c>
      <c r="P3">
        <v>-3800000</v>
      </c>
      <c r="Q3">
        <v>170200000</v>
      </c>
      <c r="R3">
        <v>0</v>
      </c>
      <c r="S3">
        <v>170200000</v>
      </c>
      <c r="T3">
        <v>187220000</v>
      </c>
      <c r="U3">
        <v>21600000</v>
      </c>
      <c r="W3" t="s">
        <v>29</v>
      </c>
      <c r="X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">
        <v>90500000</v>
      </c>
      <c r="Z3">
        <v>0</v>
      </c>
      <c r="AA3">
        <v>-5250000</v>
      </c>
      <c r="AB3">
        <v>85250000</v>
      </c>
      <c r="AC3">
        <v>0</v>
      </c>
      <c r="AD3">
        <v>85250000</v>
      </c>
      <c r="AE3">
        <v>93775000</v>
      </c>
      <c r="AF3">
        <v>5250000</v>
      </c>
      <c r="AH3" t="s">
        <v>24</v>
      </c>
      <c r="AI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">
        <v>60099996</v>
      </c>
      <c r="AK3">
        <v>0</v>
      </c>
      <c r="AL3">
        <v>-1050000</v>
      </c>
      <c r="AM3">
        <v>59049996</v>
      </c>
      <c r="AN3">
        <v>0</v>
      </c>
      <c r="AO3">
        <v>59049996</v>
      </c>
      <c r="AP3">
        <v>64954993</v>
      </c>
      <c r="AQ3">
        <v>9225000</v>
      </c>
    </row>
    <row r="4" spans="1:43" x14ac:dyDescent="0.3">
      <c r="A4" t="s">
        <v>6</v>
      </c>
      <c r="B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">
        <v>194000000</v>
      </c>
      <c r="D4">
        <v>0</v>
      </c>
      <c r="E4">
        <v>-11050000</v>
      </c>
      <c r="F4">
        <v>182950000</v>
      </c>
      <c r="G4">
        <v>0</v>
      </c>
      <c r="H4">
        <v>182950000</v>
      </c>
      <c r="I4">
        <v>201245000</v>
      </c>
      <c r="J4">
        <v>23850000</v>
      </c>
      <c r="L4" t="s">
        <v>7</v>
      </c>
      <c r="M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">
        <v>169000000</v>
      </c>
      <c r="O4">
        <v>0</v>
      </c>
      <c r="P4">
        <v>-5000000</v>
      </c>
      <c r="Q4">
        <v>164000000</v>
      </c>
      <c r="R4">
        <v>0</v>
      </c>
      <c r="S4">
        <v>164000000</v>
      </c>
      <c r="T4">
        <v>180400000</v>
      </c>
      <c r="U4">
        <v>0</v>
      </c>
      <c r="W4" t="s">
        <v>34</v>
      </c>
      <c r="X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">
        <v>75895000</v>
      </c>
      <c r="Z4">
        <v>0</v>
      </c>
      <c r="AA4">
        <v>0</v>
      </c>
      <c r="AB4">
        <v>75895000</v>
      </c>
      <c r="AC4">
        <v>0</v>
      </c>
      <c r="AD4">
        <v>75895000</v>
      </c>
      <c r="AE4">
        <v>83484500</v>
      </c>
      <c r="AF4">
        <v>7350000</v>
      </c>
      <c r="AH4" t="s">
        <v>2</v>
      </c>
      <c r="AI4" t="str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에르메스</v>
      </c>
      <c r="AJ4">
        <v>42000000</v>
      </c>
      <c r="AK4">
        <v>0</v>
      </c>
      <c r="AL4">
        <v>-1024392</v>
      </c>
      <c r="AM4">
        <v>40975608</v>
      </c>
      <c r="AN4">
        <v>0</v>
      </c>
      <c r="AO4">
        <v>40975608</v>
      </c>
      <c r="AP4">
        <v>45073170</v>
      </c>
      <c r="AQ4">
        <v>0</v>
      </c>
    </row>
    <row r="5" spans="1:43" x14ac:dyDescent="0.3">
      <c r="A5" t="s">
        <v>11</v>
      </c>
      <c r="B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">
        <v>193950000</v>
      </c>
      <c r="D5">
        <v>-10000000</v>
      </c>
      <c r="E5">
        <v>-22651867</v>
      </c>
      <c r="F5">
        <v>161298133</v>
      </c>
      <c r="G5">
        <v>20000000</v>
      </c>
      <c r="H5">
        <v>181298133</v>
      </c>
      <c r="I5">
        <v>199427947</v>
      </c>
      <c r="J5">
        <v>2250000</v>
      </c>
      <c r="L5" t="s">
        <v>6</v>
      </c>
      <c r="M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">
        <v>159000000</v>
      </c>
      <c r="O5">
        <v>0</v>
      </c>
      <c r="P5">
        <v>0</v>
      </c>
      <c r="Q5">
        <v>159000000</v>
      </c>
      <c r="R5">
        <v>0</v>
      </c>
      <c r="S5">
        <v>159000000</v>
      </c>
      <c r="T5">
        <v>174900000</v>
      </c>
      <c r="U5">
        <v>21600000</v>
      </c>
      <c r="W5" t="s">
        <v>21</v>
      </c>
      <c r="X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">
        <v>55579000</v>
      </c>
      <c r="Z5">
        <v>0</v>
      </c>
      <c r="AA5">
        <v>-171000</v>
      </c>
      <c r="AB5">
        <v>55408000</v>
      </c>
      <c r="AC5">
        <v>0</v>
      </c>
      <c r="AD5">
        <v>55408000</v>
      </c>
      <c r="AE5">
        <v>60948800</v>
      </c>
      <c r="AF5">
        <v>0</v>
      </c>
      <c r="AH5" t="s">
        <v>4</v>
      </c>
      <c r="AI5" t="str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루이비통</v>
      </c>
      <c r="AJ5">
        <v>35800000</v>
      </c>
      <c r="AK5">
        <v>0</v>
      </c>
      <c r="AL5">
        <v>0</v>
      </c>
      <c r="AM5">
        <v>35800000</v>
      </c>
      <c r="AN5">
        <v>0</v>
      </c>
      <c r="AO5">
        <v>35800000</v>
      </c>
      <c r="AP5">
        <v>39380000</v>
      </c>
      <c r="AQ5">
        <v>0</v>
      </c>
    </row>
    <row r="6" spans="1:43" x14ac:dyDescent="0.3">
      <c r="A6" t="s">
        <v>7</v>
      </c>
      <c r="B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">
        <v>192000000</v>
      </c>
      <c r="D6">
        <v>0</v>
      </c>
      <c r="E6">
        <v>0</v>
      </c>
      <c r="F6">
        <v>192000000</v>
      </c>
      <c r="G6">
        <v>0</v>
      </c>
      <c r="H6">
        <v>192000000</v>
      </c>
      <c r="I6">
        <v>211200000</v>
      </c>
      <c r="J6">
        <v>0</v>
      </c>
      <c r="L6" t="s">
        <v>10</v>
      </c>
      <c r="M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">
        <v>149000000</v>
      </c>
      <c r="O6">
        <v>0</v>
      </c>
      <c r="P6">
        <v>-6000000</v>
      </c>
      <c r="Q6">
        <v>143000000</v>
      </c>
      <c r="R6">
        <v>0</v>
      </c>
      <c r="S6">
        <v>143000000</v>
      </c>
      <c r="T6">
        <v>157300000</v>
      </c>
      <c r="U6">
        <v>20700000</v>
      </c>
      <c r="W6" t="s">
        <v>24</v>
      </c>
      <c r="X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">
        <v>50013335</v>
      </c>
      <c r="Z6">
        <v>0</v>
      </c>
      <c r="AA6">
        <v>-195000</v>
      </c>
      <c r="AB6">
        <v>49818335</v>
      </c>
      <c r="AC6">
        <v>0</v>
      </c>
      <c r="AD6">
        <v>49818335</v>
      </c>
      <c r="AE6">
        <v>54800170</v>
      </c>
      <c r="AF6">
        <v>450000</v>
      </c>
      <c r="AH6" t="s">
        <v>59</v>
      </c>
      <c r="AI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">
        <v>32000000</v>
      </c>
      <c r="AK6">
        <v>0</v>
      </c>
      <c r="AL6">
        <v>0</v>
      </c>
      <c r="AM6">
        <v>32000000</v>
      </c>
      <c r="AN6">
        <v>0</v>
      </c>
      <c r="AO6">
        <v>32000000</v>
      </c>
      <c r="AP6">
        <v>35200000</v>
      </c>
      <c r="AQ6">
        <v>3000000</v>
      </c>
    </row>
    <row r="7" spans="1:43" x14ac:dyDescent="0.3">
      <c r="A7" t="s">
        <v>8</v>
      </c>
      <c r="B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">
        <v>165500000</v>
      </c>
      <c r="D7">
        <v>0</v>
      </c>
      <c r="E7">
        <v>0</v>
      </c>
      <c r="F7">
        <v>165500000</v>
      </c>
      <c r="G7">
        <v>0</v>
      </c>
      <c r="H7">
        <v>165500000</v>
      </c>
      <c r="I7">
        <v>182050000</v>
      </c>
      <c r="J7">
        <v>21600000</v>
      </c>
      <c r="L7" t="s">
        <v>12</v>
      </c>
      <c r="M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">
        <v>148234600</v>
      </c>
      <c r="O7">
        <v>0</v>
      </c>
      <c r="P7">
        <v>-35764600</v>
      </c>
      <c r="Q7">
        <v>112470000</v>
      </c>
      <c r="R7">
        <v>40000000</v>
      </c>
      <c r="S7">
        <v>152470000</v>
      </c>
      <c r="T7">
        <v>167717000</v>
      </c>
      <c r="U7">
        <v>0</v>
      </c>
      <c r="W7" t="s">
        <v>2</v>
      </c>
      <c r="X7" t="str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에르메스</v>
      </c>
      <c r="Y7">
        <v>40000000</v>
      </c>
      <c r="Z7">
        <v>0</v>
      </c>
      <c r="AA7">
        <v>-974560</v>
      </c>
      <c r="AB7">
        <v>39025440</v>
      </c>
      <c r="AC7">
        <v>0</v>
      </c>
      <c r="AD7">
        <v>39025440</v>
      </c>
      <c r="AE7">
        <v>42927984</v>
      </c>
      <c r="AF7">
        <v>0</v>
      </c>
      <c r="AH7" t="s">
        <v>21</v>
      </c>
      <c r="AI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">
        <v>28000000</v>
      </c>
      <c r="AK7">
        <v>-10000000</v>
      </c>
      <c r="AL7">
        <v>-10294912</v>
      </c>
      <c r="AM7">
        <v>7705088</v>
      </c>
      <c r="AN7">
        <v>10000000</v>
      </c>
      <c r="AO7">
        <v>17705088</v>
      </c>
      <c r="AP7">
        <v>19475597</v>
      </c>
      <c r="AQ7">
        <v>0</v>
      </c>
    </row>
    <row r="8" spans="1:43" x14ac:dyDescent="0.3">
      <c r="A8" t="s">
        <v>10</v>
      </c>
      <c r="B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">
        <v>164000000</v>
      </c>
      <c r="D8">
        <v>0</v>
      </c>
      <c r="E8">
        <v>-8000000</v>
      </c>
      <c r="F8">
        <v>156000000</v>
      </c>
      <c r="G8">
        <v>0</v>
      </c>
      <c r="H8">
        <v>156000000</v>
      </c>
      <c r="I8">
        <v>171600000</v>
      </c>
      <c r="J8">
        <v>23100000</v>
      </c>
      <c r="L8" t="s">
        <v>1</v>
      </c>
      <c r="M8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샤넬</v>
      </c>
      <c r="N8">
        <v>130000000</v>
      </c>
      <c r="O8">
        <v>-50000000</v>
      </c>
      <c r="P8">
        <v>0</v>
      </c>
      <c r="Q8">
        <v>80000000</v>
      </c>
      <c r="R8">
        <v>50000000</v>
      </c>
      <c r="S8">
        <v>130000000</v>
      </c>
      <c r="T8">
        <v>143000000</v>
      </c>
      <c r="U8">
        <v>0</v>
      </c>
      <c r="W8" t="s">
        <v>14</v>
      </c>
      <c r="X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">
        <v>40000000</v>
      </c>
      <c r="Z8">
        <v>0</v>
      </c>
      <c r="AA8">
        <v>0</v>
      </c>
      <c r="AB8">
        <v>40000000</v>
      </c>
      <c r="AC8">
        <v>0</v>
      </c>
      <c r="AD8">
        <v>40000000</v>
      </c>
      <c r="AE8">
        <v>44000000</v>
      </c>
      <c r="AF8">
        <v>6000000</v>
      </c>
      <c r="AH8" t="s">
        <v>64</v>
      </c>
      <c r="AI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">
        <v>27500000</v>
      </c>
      <c r="AK8">
        <v>0</v>
      </c>
      <c r="AL8">
        <v>0</v>
      </c>
      <c r="AM8">
        <v>27500000</v>
      </c>
      <c r="AN8">
        <v>0</v>
      </c>
      <c r="AO8">
        <v>27500000</v>
      </c>
      <c r="AP8">
        <v>30250000</v>
      </c>
      <c r="AQ8">
        <v>4125000</v>
      </c>
    </row>
    <row r="9" spans="1:43" x14ac:dyDescent="0.3">
      <c r="A9" t="s">
        <v>2</v>
      </c>
      <c r="B9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에르메스</v>
      </c>
      <c r="C9">
        <v>160000000</v>
      </c>
      <c r="D9">
        <v>0</v>
      </c>
      <c r="E9">
        <v>-4299744</v>
      </c>
      <c r="F9">
        <v>155700256</v>
      </c>
      <c r="G9">
        <v>0</v>
      </c>
      <c r="H9">
        <v>155700256</v>
      </c>
      <c r="I9">
        <v>171270281</v>
      </c>
      <c r="J9">
        <v>0</v>
      </c>
      <c r="L9" t="s">
        <v>2</v>
      </c>
      <c r="M9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에르메스</v>
      </c>
      <c r="N9">
        <v>127000000</v>
      </c>
      <c r="O9">
        <v>0</v>
      </c>
      <c r="P9">
        <v>-3097563</v>
      </c>
      <c r="Q9">
        <v>123902437</v>
      </c>
      <c r="R9">
        <v>0</v>
      </c>
      <c r="S9">
        <v>123902437</v>
      </c>
      <c r="T9">
        <v>136292682</v>
      </c>
      <c r="U9">
        <v>0</v>
      </c>
      <c r="W9" t="s">
        <v>63</v>
      </c>
      <c r="X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">
        <v>40000000</v>
      </c>
      <c r="Z9">
        <v>0</v>
      </c>
      <c r="AA9">
        <v>0</v>
      </c>
      <c r="AB9">
        <v>40000000</v>
      </c>
      <c r="AC9">
        <v>0</v>
      </c>
      <c r="AD9">
        <v>40000000</v>
      </c>
      <c r="AE9">
        <v>44000000</v>
      </c>
      <c r="AF9">
        <v>0</v>
      </c>
      <c r="AH9" t="s">
        <v>43</v>
      </c>
      <c r="AI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">
        <v>25000000</v>
      </c>
      <c r="AK9">
        <v>-25000000</v>
      </c>
      <c r="AL9">
        <v>0</v>
      </c>
      <c r="AM9">
        <v>0</v>
      </c>
      <c r="AN9">
        <v>25000000</v>
      </c>
      <c r="AO9">
        <v>25000000</v>
      </c>
      <c r="AP9">
        <v>27500000</v>
      </c>
      <c r="AQ9">
        <v>7500000</v>
      </c>
    </row>
    <row r="10" spans="1:43" x14ac:dyDescent="0.3">
      <c r="A10" t="s">
        <v>15</v>
      </c>
      <c r="B1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">
        <v>136700000</v>
      </c>
      <c r="D10">
        <v>0</v>
      </c>
      <c r="E10">
        <v>0</v>
      </c>
      <c r="F10">
        <v>136700000</v>
      </c>
      <c r="G10">
        <v>0</v>
      </c>
      <c r="H10">
        <v>136700000</v>
      </c>
      <c r="I10">
        <v>150370000</v>
      </c>
      <c r="J10">
        <v>0</v>
      </c>
      <c r="L10" t="s">
        <v>9</v>
      </c>
      <c r="M10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샤넬</v>
      </c>
      <c r="N10">
        <v>126000000</v>
      </c>
      <c r="O10">
        <v>0</v>
      </c>
      <c r="P10">
        <v>-16500000</v>
      </c>
      <c r="Q10">
        <v>109500000</v>
      </c>
      <c r="R10">
        <v>43000000</v>
      </c>
      <c r="S10">
        <v>152500000</v>
      </c>
      <c r="T10">
        <v>167750000</v>
      </c>
      <c r="U10">
        <v>0</v>
      </c>
      <c r="W10" t="s">
        <v>42</v>
      </c>
      <c r="X1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">
        <v>36751000</v>
      </c>
      <c r="Z10">
        <v>-5000000</v>
      </c>
      <c r="AA10">
        <v>0</v>
      </c>
      <c r="AB10">
        <v>31751000</v>
      </c>
      <c r="AC10">
        <v>5000000</v>
      </c>
      <c r="AD10">
        <v>36751000</v>
      </c>
      <c r="AE10">
        <v>40426100</v>
      </c>
      <c r="AF10">
        <v>6300000</v>
      </c>
      <c r="AH10" t="s">
        <v>117</v>
      </c>
      <c r="AI1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">
        <v>25000000</v>
      </c>
      <c r="AK10">
        <v>0</v>
      </c>
      <c r="AL10">
        <v>0</v>
      </c>
      <c r="AM10">
        <v>25000000</v>
      </c>
      <c r="AN10">
        <v>0</v>
      </c>
      <c r="AO10">
        <v>25000000</v>
      </c>
      <c r="AP10">
        <v>27500000</v>
      </c>
      <c r="AQ10">
        <v>0</v>
      </c>
    </row>
    <row r="11" spans="1:43" x14ac:dyDescent="0.3">
      <c r="A11" t="s">
        <v>18</v>
      </c>
      <c r="B1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">
        <v>130000000</v>
      </c>
      <c r="D11">
        <v>-10000000</v>
      </c>
      <c r="E11">
        <v>0</v>
      </c>
      <c r="F11">
        <v>120000000</v>
      </c>
      <c r="G11">
        <v>0</v>
      </c>
      <c r="H11">
        <v>120000000</v>
      </c>
      <c r="I11">
        <v>132000000</v>
      </c>
      <c r="J11">
        <v>18000000</v>
      </c>
      <c r="L11" t="s">
        <v>13</v>
      </c>
      <c r="M11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샤넬</v>
      </c>
      <c r="N11">
        <v>125000000</v>
      </c>
      <c r="O11">
        <v>0</v>
      </c>
      <c r="P11">
        <v>0</v>
      </c>
      <c r="Q11">
        <v>125000000</v>
      </c>
      <c r="R11">
        <v>23000000</v>
      </c>
      <c r="S11">
        <v>148000000</v>
      </c>
      <c r="T11">
        <v>162800000</v>
      </c>
      <c r="U11">
        <v>0</v>
      </c>
      <c r="W11" t="s">
        <v>108</v>
      </c>
      <c r="X1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1">
        <v>26600000</v>
      </c>
      <c r="Z11">
        <v>0</v>
      </c>
      <c r="AA11">
        <v>0</v>
      </c>
      <c r="AB11">
        <v>26600000</v>
      </c>
      <c r="AC11">
        <v>0</v>
      </c>
      <c r="AD11">
        <v>26600000</v>
      </c>
      <c r="AE11">
        <v>29260000</v>
      </c>
      <c r="AF11">
        <v>3990000</v>
      </c>
      <c r="AH11" t="s">
        <v>42</v>
      </c>
      <c r="AI1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">
        <v>25000000</v>
      </c>
      <c r="AK11">
        <v>-1000000</v>
      </c>
      <c r="AL11">
        <v>-2000000</v>
      </c>
      <c r="AM11">
        <v>22000000</v>
      </c>
      <c r="AN11">
        <v>0</v>
      </c>
      <c r="AO11">
        <v>22000000</v>
      </c>
      <c r="AP11">
        <v>24200000</v>
      </c>
      <c r="AQ11">
        <v>3450000</v>
      </c>
    </row>
    <row r="12" spans="1:43" x14ac:dyDescent="0.3">
      <c r="A12" t="s">
        <v>1</v>
      </c>
      <c r="B12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샤넬</v>
      </c>
      <c r="C12">
        <v>122200000</v>
      </c>
      <c r="D12">
        <v>-51000000</v>
      </c>
      <c r="E12">
        <v>-9000000</v>
      </c>
      <c r="F12">
        <v>62200000</v>
      </c>
      <c r="G12">
        <v>21000000</v>
      </c>
      <c r="H12">
        <v>83200000</v>
      </c>
      <c r="I12">
        <v>91520000</v>
      </c>
      <c r="J12">
        <v>0</v>
      </c>
      <c r="L12" t="s">
        <v>4</v>
      </c>
      <c r="M12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루이비통</v>
      </c>
      <c r="N12">
        <v>116200000</v>
      </c>
      <c r="O12">
        <v>0</v>
      </c>
      <c r="P12">
        <v>0</v>
      </c>
      <c r="Q12">
        <v>116200000</v>
      </c>
      <c r="R12">
        <v>25000000</v>
      </c>
      <c r="S12">
        <v>141200000</v>
      </c>
      <c r="T12">
        <v>155320000</v>
      </c>
      <c r="U12">
        <v>0</v>
      </c>
      <c r="W12" t="s">
        <v>109</v>
      </c>
      <c r="X1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2">
        <v>25800000</v>
      </c>
      <c r="Z12">
        <v>0</v>
      </c>
      <c r="AA12">
        <v>0</v>
      </c>
      <c r="AB12">
        <v>25800000</v>
      </c>
      <c r="AC12">
        <v>0</v>
      </c>
      <c r="AD12">
        <v>25800000</v>
      </c>
      <c r="AE12">
        <v>25800000</v>
      </c>
      <c r="AF12">
        <v>0</v>
      </c>
      <c r="AH12" t="s">
        <v>121</v>
      </c>
      <c r="AI1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2">
        <v>24750000</v>
      </c>
      <c r="AK12">
        <v>0</v>
      </c>
      <c r="AL12">
        <v>0</v>
      </c>
      <c r="AM12">
        <v>24750000</v>
      </c>
      <c r="AN12">
        <v>0</v>
      </c>
      <c r="AO12">
        <v>24750000</v>
      </c>
      <c r="AP12">
        <v>27225000</v>
      </c>
      <c r="AQ12">
        <v>3712500</v>
      </c>
    </row>
    <row r="13" spans="1:43" x14ac:dyDescent="0.3">
      <c r="A13" t="s">
        <v>4</v>
      </c>
      <c r="B13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루이비통</v>
      </c>
      <c r="C13">
        <v>121500000</v>
      </c>
      <c r="D13">
        <v>-10000000</v>
      </c>
      <c r="E13">
        <v>0</v>
      </c>
      <c r="F13">
        <v>111500000</v>
      </c>
      <c r="G13">
        <v>0</v>
      </c>
      <c r="H13">
        <v>111500000</v>
      </c>
      <c r="I13">
        <v>122650000</v>
      </c>
      <c r="J13">
        <v>0</v>
      </c>
      <c r="L13" t="s">
        <v>11</v>
      </c>
      <c r="M1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">
        <v>106000000</v>
      </c>
      <c r="O13">
        <v>0</v>
      </c>
      <c r="P13">
        <v>-3200000</v>
      </c>
      <c r="Q13">
        <v>102800000</v>
      </c>
      <c r="R13">
        <v>0</v>
      </c>
      <c r="S13">
        <v>102800000</v>
      </c>
      <c r="T13">
        <v>113080000</v>
      </c>
      <c r="U13">
        <v>0</v>
      </c>
      <c r="W13" t="s">
        <v>110</v>
      </c>
      <c r="X1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3">
        <v>25116600</v>
      </c>
      <c r="Z13">
        <v>0</v>
      </c>
      <c r="AA13">
        <v>0</v>
      </c>
      <c r="AB13">
        <v>25116600</v>
      </c>
      <c r="AC13">
        <v>9580000</v>
      </c>
      <c r="AD13">
        <v>34696600</v>
      </c>
      <c r="AE13">
        <v>38166260</v>
      </c>
      <c r="AF13">
        <v>6000000</v>
      </c>
      <c r="AH13" t="s">
        <v>168</v>
      </c>
      <c r="AI1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3">
        <v>16000000</v>
      </c>
      <c r="AK13">
        <v>0</v>
      </c>
      <c r="AL13">
        <v>0</v>
      </c>
      <c r="AM13">
        <v>16000000</v>
      </c>
      <c r="AN13">
        <v>0</v>
      </c>
      <c r="AO13">
        <v>16000000</v>
      </c>
      <c r="AP13">
        <v>17600000</v>
      </c>
      <c r="AQ13">
        <v>1500000</v>
      </c>
    </row>
    <row r="14" spans="1:43" x14ac:dyDescent="0.3">
      <c r="A14" t="s">
        <v>13</v>
      </c>
      <c r="B14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샤넬</v>
      </c>
      <c r="C14">
        <v>109000000</v>
      </c>
      <c r="D14">
        <v>-8000000</v>
      </c>
      <c r="E14">
        <v>-7000000</v>
      </c>
      <c r="F14">
        <v>94000000</v>
      </c>
      <c r="G14">
        <v>15000000</v>
      </c>
      <c r="H14">
        <v>109000000</v>
      </c>
      <c r="I14">
        <v>119900000</v>
      </c>
      <c r="J14">
        <v>0</v>
      </c>
      <c r="L14" t="s">
        <v>492</v>
      </c>
      <c r="M1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">
        <v>96000000</v>
      </c>
      <c r="O14">
        <v>0</v>
      </c>
      <c r="P14">
        <v>0</v>
      </c>
      <c r="Q14">
        <v>96000000</v>
      </c>
      <c r="R14">
        <v>0</v>
      </c>
      <c r="S14">
        <v>96000000</v>
      </c>
      <c r="T14">
        <v>105600000</v>
      </c>
      <c r="U14">
        <v>14400000</v>
      </c>
      <c r="W14" t="s">
        <v>111</v>
      </c>
      <c r="X1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4">
        <v>25084151</v>
      </c>
      <c r="Z14">
        <v>-25084151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3762622</v>
      </c>
      <c r="AH14" t="s">
        <v>83</v>
      </c>
      <c r="AI1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4">
        <v>16000000</v>
      </c>
      <c r="AK14">
        <v>0</v>
      </c>
      <c r="AL14">
        <v>0</v>
      </c>
      <c r="AM14">
        <v>16000000</v>
      </c>
      <c r="AN14">
        <v>0</v>
      </c>
      <c r="AO14">
        <v>16000000</v>
      </c>
      <c r="AP14">
        <v>17600000</v>
      </c>
      <c r="AQ14">
        <v>0</v>
      </c>
    </row>
    <row r="15" spans="1:43" x14ac:dyDescent="0.3">
      <c r="A15" t="s">
        <v>12</v>
      </c>
      <c r="B1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">
        <v>103200000</v>
      </c>
      <c r="D15">
        <v>-27800000</v>
      </c>
      <c r="E15">
        <v>-3900000</v>
      </c>
      <c r="F15">
        <v>71500000</v>
      </c>
      <c r="G15">
        <v>5000000</v>
      </c>
      <c r="H15">
        <v>76500000</v>
      </c>
      <c r="I15">
        <v>78650000</v>
      </c>
      <c r="J15">
        <v>0</v>
      </c>
      <c r="L15" t="s">
        <v>25</v>
      </c>
      <c r="M1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">
        <v>83500000</v>
      </c>
      <c r="O15">
        <v>0</v>
      </c>
      <c r="P15">
        <v>-3300000</v>
      </c>
      <c r="Q15">
        <v>80200000</v>
      </c>
      <c r="R15">
        <v>0</v>
      </c>
      <c r="S15">
        <v>80200000</v>
      </c>
      <c r="T15">
        <v>88220000</v>
      </c>
      <c r="U15">
        <v>0</v>
      </c>
      <c r="W15" t="s">
        <v>43</v>
      </c>
      <c r="X1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5">
        <v>25000000</v>
      </c>
      <c r="Z15">
        <v>-25000000</v>
      </c>
      <c r="AA15">
        <v>0</v>
      </c>
      <c r="AB15">
        <v>0</v>
      </c>
      <c r="AC15">
        <v>25000000</v>
      </c>
      <c r="AD15">
        <v>25000000</v>
      </c>
      <c r="AE15">
        <v>27500000</v>
      </c>
      <c r="AF15">
        <v>7500000</v>
      </c>
      <c r="AH15" t="s">
        <v>183</v>
      </c>
      <c r="AI1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5">
        <v>14900000</v>
      </c>
      <c r="AK15">
        <v>0</v>
      </c>
      <c r="AL15">
        <v>-1200000</v>
      </c>
      <c r="AM15">
        <v>13700000</v>
      </c>
      <c r="AN15">
        <v>0</v>
      </c>
      <c r="AO15">
        <v>13700000</v>
      </c>
      <c r="AP15">
        <v>15070000</v>
      </c>
      <c r="AQ15">
        <v>0</v>
      </c>
    </row>
    <row r="16" spans="1:43" x14ac:dyDescent="0.3">
      <c r="A16" t="s">
        <v>3</v>
      </c>
      <c r="B16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디올</v>
      </c>
      <c r="C16">
        <v>95000000</v>
      </c>
      <c r="D16">
        <v>0</v>
      </c>
      <c r="E16">
        <v>0</v>
      </c>
      <c r="F16">
        <v>95000000</v>
      </c>
      <c r="G16">
        <v>60000000</v>
      </c>
      <c r="H16">
        <v>155000000</v>
      </c>
      <c r="I16">
        <v>170500000</v>
      </c>
      <c r="J16">
        <v>0</v>
      </c>
      <c r="L16" t="s">
        <v>19</v>
      </c>
      <c r="M1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">
        <v>80000000</v>
      </c>
      <c r="O16">
        <v>0</v>
      </c>
      <c r="P16">
        <v>-8250000</v>
      </c>
      <c r="Q16">
        <v>71750000</v>
      </c>
      <c r="R16">
        <v>0</v>
      </c>
      <c r="S16">
        <v>71750000</v>
      </c>
      <c r="T16">
        <v>78925000</v>
      </c>
      <c r="U16">
        <v>9000000</v>
      </c>
      <c r="W16" t="s">
        <v>124</v>
      </c>
      <c r="X1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6">
        <v>23870000</v>
      </c>
      <c r="Z16">
        <v>0</v>
      </c>
      <c r="AA16">
        <v>0</v>
      </c>
      <c r="AB16">
        <v>23870000</v>
      </c>
      <c r="AC16">
        <v>0</v>
      </c>
      <c r="AD16">
        <v>23870000</v>
      </c>
      <c r="AE16">
        <v>19870000</v>
      </c>
      <c r="AF16">
        <v>3600000</v>
      </c>
      <c r="AH16" t="s">
        <v>186</v>
      </c>
      <c r="AI1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6">
        <v>14000000</v>
      </c>
      <c r="AK16">
        <v>0</v>
      </c>
      <c r="AL16">
        <v>0</v>
      </c>
      <c r="AM16">
        <v>14000000</v>
      </c>
      <c r="AN16">
        <v>0</v>
      </c>
      <c r="AO16">
        <v>14000000</v>
      </c>
      <c r="AP16">
        <v>15400000</v>
      </c>
      <c r="AQ16">
        <v>2400000</v>
      </c>
    </row>
    <row r="17" spans="1:43" x14ac:dyDescent="0.3">
      <c r="A17" t="s">
        <v>17</v>
      </c>
      <c r="B1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">
        <v>94000000</v>
      </c>
      <c r="D17">
        <v>0</v>
      </c>
      <c r="E17">
        <v>-37500000</v>
      </c>
      <c r="F17">
        <v>56500000</v>
      </c>
      <c r="G17">
        <v>0</v>
      </c>
      <c r="H17">
        <v>56500000</v>
      </c>
      <c r="I17">
        <v>62150000</v>
      </c>
      <c r="J17">
        <v>0</v>
      </c>
      <c r="L17" t="s">
        <v>30</v>
      </c>
      <c r="M1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">
        <v>79500000</v>
      </c>
      <c r="O17">
        <v>0</v>
      </c>
      <c r="P17">
        <v>-5910064</v>
      </c>
      <c r="Q17">
        <v>73589936</v>
      </c>
      <c r="R17">
        <v>0</v>
      </c>
      <c r="S17">
        <v>73589936</v>
      </c>
      <c r="T17">
        <v>80948930</v>
      </c>
      <c r="U17">
        <v>0</v>
      </c>
      <c r="W17" t="s">
        <v>88</v>
      </c>
      <c r="X1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7">
        <v>22500000</v>
      </c>
      <c r="Z17">
        <v>0</v>
      </c>
      <c r="AA17">
        <v>0</v>
      </c>
      <c r="AB17">
        <v>22500000</v>
      </c>
      <c r="AC17">
        <v>0</v>
      </c>
      <c r="AD17">
        <v>22500000</v>
      </c>
      <c r="AE17">
        <v>24750000</v>
      </c>
      <c r="AF17">
        <v>3375000</v>
      </c>
      <c r="AH17" t="s">
        <v>65</v>
      </c>
      <c r="AI1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7">
        <v>12500000</v>
      </c>
      <c r="AK17">
        <v>0</v>
      </c>
      <c r="AL17">
        <v>0</v>
      </c>
      <c r="AM17">
        <v>12500000</v>
      </c>
      <c r="AN17">
        <v>0</v>
      </c>
      <c r="AO17">
        <v>12500000</v>
      </c>
      <c r="AP17">
        <v>13750000</v>
      </c>
      <c r="AQ17">
        <v>1950000</v>
      </c>
    </row>
    <row r="18" spans="1:43" x14ac:dyDescent="0.3">
      <c r="A18" t="s">
        <v>31</v>
      </c>
      <c r="B1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">
        <v>84660000</v>
      </c>
      <c r="D18">
        <v>0</v>
      </c>
      <c r="E18">
        <v>-25810000</v>
      </c>
      <c r="F18">
        <v>58850000</v>
      </c>
      <c r="G18">
        <v>0</v>
      </c>
      <c r="H18">
        <v>58850000</v>
      </c>
      <c r="I18">
        <v>64735000</v>
      </c>
      <c r="J18">
        <v>9750000</v>
      </c>
      <c r="L18" t="s">
        <v>16</v>
      </c>
      <c r="M18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디올</v>
      </c>
      <c r="N18">
        <v>76500000</v>
      </c>
      <c r="O18">
        <v>0</v>
      </c>
      <c r="P18">
        <v>0</v>
      </c>
      <c r="Q18">
        <v>76500000</v>
      </c>
      <c r="R18">
        <v>0</v>
      </c>
      <c r="S18">
        <v>76500000</v>
      </c>
      <c r="T18">
        <v>84150000</v>
      </c>
      <c r="U18">
        <v>0</v>
      </c>
      <c r="W18" t="s">
        <v>95</v>
      </c>
      <c r="X1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8">
        <v>20800000</v>
      </c>
      <c r="Z18">
        <v>0</v>
      </c>
      <c r="AA18">
        <v>-100000</v>
      </c>
      <c r="AB18">
        <v>20700000</v>
      </c>
      <c r="AC18">
        <v>0</v>
      </c>
      <c r="AD18">
        <v>20700000</v>
      </c>
      <c r="AE18">
        <v>22770000</v>
      </c>
      <c r="AF18">
        <v>3000000</v>
      </c>
      <c r="AH18" t="s">
        <v>195</v>
      </c>
      <c r="AI1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8">
        <v>12000000</v>
      </c>
      <c r="AK18">
        <v>0</v>
      </c>
      <c r="AL18">
        <v>0</v>
      </c>
      <c r="AM18">
        <v>12000000</v>
      </c>
      <c r="AN18">
        <v>0</v>
      </c>
      <c r="AO18">
        <v>12000000</v>
      </c>
      <c r="AP18">
        <v>13200000</v>
      </c>
      <c r="AQ18">
        <v>1800000</v>
      </c>
    </row>
    <row r="19" spans="1:43" x14ac:dyDescent="0.3">
      <c r="A19" t="s">
        <v>16</v>
      </c>
      <c r="B19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디올</v>
      </c>
      <c r="C19">
        <v>84000000</v>
      </c>
      <c r="D19">
        <v>0</v>
      </c>
      <c r="E19">
        <v>-2400000</v>
      </c>
      <c r="F19">
        <v>81600000</v>
      </c>
      <c r="G19">
        <v>0</v>
      </c>
      <c r="H19">
        <v>81600000</v>
      </c>
      <c r="I19">
        <v>89760000</v>
      </c>
      <c r="J19">
        <v>0</v>
      </c>
      <c r="L19" t="s">
        <v>20</v>
      </c>
      <c r="M1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">
        <v>65000000</v>
      </c>
      <c r="O19">
        <v>-5000000</v>
      </c>
      <c r="P19">
        <v>0</v>
      </c>
      <c r="Q19">
        <v>60000000</v>
      </c>
      <c r="R19">
        <v>5000000</v>
      </c>
      <c r="S19">
        <v>65000000</v>
      </c>
      <c r="T19">
        <v>71500000</v>
      </c>
      <c r="U19">
        <v>9000000</v>
      </c>
      <c r="W19" t="s">
        <v>140</v>
      </c>
      <c r="X1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9">
        <v>20000000</v>
      </c>
      <c r="Z19">
        <v>0</v>
      </c>
      <c r="AA19">
        <v>0</v>
      </c>
      <c r="AB19">
        <v>20000000</v>
      </c>
      <c r="AC19">
        <v>0</v>
      </c>
      <c r="AD19">
        <v>20000000</v>
      </c>
      <c r="AE19">
        <v>22000000</v>
      </c>
      <c r="AF19">
        <v>4200000</v>
      </c>
      <c r="AH19" t="s">
        <v>122</v>
      </c>
      <c r="AI1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9">
        <v>12000000</v>
      </c>
      <c r="AK19">
        <v>0</v>
      </c>
      <c r="AL19">
        <v>0</v>
      </c>
      <c r="AM19">
        <v>12000000</v>
      </c>
      <c r="AN19">
        <v>0</v>
      </c>
      <c r="AO19">
        <v>12000000</v>
      </c>
      <c r="AP19">
        <v>13200000</v>
      </c>
      <c r="AQ19">
        <v>0</v>
      </c>
    </row>
    <row r="20" spans="1:43" x14ac:dyDescent="0.3">
      <c r="A20" t="s">
        <v>23</v>
      </c>
      <c r="B2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">
        <v>84000000</v>
      </c>
      <c r="D20">
        <v>0</v>
      </c>
      <c r="E20">
        <v>-8240000</v>
      </c>
      <c r="F20">
        <v>75760000</v>
      </c>
      <c r="G20">
        <v>0</v>
      </c>
      <c r="H20">
        <v>75760000</v>
      </c>
      <c r="I20">
        <v>83336000</v>
      </c>
      <c r="J20">
        <v>2700000</v>
      </c>
      <c r="L20" t="s">
        <v>17</v>
      </c>
      <c r="M2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">
        <v>62000000</v>
      </c>
      <c r="O20">
        <v>0</v>
      </c>
      <c r="P20">
        <v>0</v>
      </c>
      <c r="Q20">
        <v>62000000</v>
      </c>
      <c r="R20">
        <v>0</v>
      </c>
      <c r="S20">
        <v>62000000</v>
      </c>
      <c r="T20">
        <v>68200000</v>
      </c>
      <c r="U20">
        <v>900000</v>
      </c>
      <c r="W20" t="s">
        <v>152</v>
      </c>
      <c r="X2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0">
        <v>19197000</v>
      </c>
      <c r="Z20">
        <v>0</v>
      </c>
      <c r="AA20">
        <v>0</v>
      </c>
      <c r="AB20">
        <v>19197000</v>
      </c>
      <c r="AC20">
        <v>0</v>
      </c>
      <c r="AD20">
        <v>19197000</v>
      </c>
      <c r="AE20">
        <v>21116700</v>
      </c>
      <c r="AF20">
        <v>0</v>
      </c>
      <c r="AH20" t="s">
        <v>205</v>
      </c>
      <c r="AI2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0">
        <v>11500000</v>
      </c>
      <c r="AK20">
        <v>0</v>
      </c>
      <c r="AL20">
        <v>-3600000</v>
      </c>
      <c r="AM20">
        <v>7900000</v>
      </c>
      <c r="AN20">
        <v>0</v>
      </c>
      <c r="AO20">
        <v>7900000</v>
      </c>
      <c r="AP20">
        <v>8690000</v>
      </c>
      <c r="AQ20">
        <v>0</v>
      </c>
    </row>
    <row r="21" spans="1:43" x14ac:dyDescent="0.3">
      <c r="A21" t="s">
        <v>37</v>
      </c>
      <c r="B21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샤넬</v>
      </c>
      <c r="C21">
        <v>73700000</v>
      </c>
      <c r="D21">
        <v>-19700000</v>
      </c>
      <c r="E21">
        <v>-9000000</v>
      </c>
      <c r="F21">
        <v>45000000</v>
      </c>
      <c r="G21">
        <v>19700000</v>
      </c>
      <c r="H21">
        <v>64700000</v>
      </c>
      <c r="I21">
        <v>71170000</v>
      </c>
      <c r="J21">
        <v>0</v>
      </c>
      <c r="L21" t="s">
        <v>33</v>
      </c>
      <c r="M2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">
        <v>61000000</v>
      </c>
      <c r="O21">
        <v>0</v>
      </c>
      <c r="P21">
        <v>-17800000</v>
      </c>
      <c r="Q21">
        <v>43200000</v>
      </c>
      <c r="R21">
        <v>0</v>
      </c>
      <c r="S21">
        <v>43200000</v>
      </c>
      <c r="T21">
        <v>47520000</v>
      </c>
      <c r="U21">
        <v>0</v>
      </c>
      <c r="W21" t="s">
        <v>153</v>
      </c>
      <c r="X2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1">
        <v>19000000</v>
      </c>
      <c r="Z21">
        <v>0</v>
      </c>
      <c r="AA21">
        <v>-1100000</v>
      </c>
      <c r="AB21">
        <v>17900000</v>
      </c>
      <c r="AC21">
        <v>0</v>
      </c>
      <c r="AD21">
        <v>17900000</v>
      </c>
      <c r="AE21">
        <v>19690000</v>
      </c>
      <c r="AF21">
        <v>2850000</v>
      </c>
      <c r="AH21" t="s">
        <v>100</v>
      </c>
      <c r="AI2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1">
        <v>11000000</v>
      </c>
      <c r="AK21">
        <v>0</v>
      </c>
      <c r="AL21">
        <v>0</v>
      </c>
      <c r="AM21">
        <v>11000000</v>
      </c>
      <c r="AN21">
        <v>0</v>
      </c>
      <c r="AO21">
        <v>11000000</v>
      </c>
      <c r="AP21">
        <v>12100000</v>
      </c>
      <c r="AQ21">
        <v>1650000</v>
      </c>
    </row>
    <row r="22" spans="1:43" x14ac:dyDescent="0.3">
      <c r="A22" t="s">
        <v>38</v>
      </c>
      <c r="B2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">
        <v>70000000</v>
      </c>
      <c r="D22">
        <v>0</v>
      </c>
      <c r="E22">
        <v>-25000000</v>
      </c>
      <c r="F22">
        <v>45000000</v>
      </c>
      <c r="G22">
        <v>10000000</v>
      </c>
      <c r="H22">
        <v>55000000</v>
      </c>
      <c r="I22">
        <v>60500000</v>
      </c>
      <c r="J22">
        <v>0</v>
      </c>
      <c r="L22" t="s">
        <v>22</v>
      </c>
      <c r="M2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">
        <v>58000000</v>
      </c>
      <c r="O22">
        <v>0</v>
      </c>
      <c r="P22">
        <v>0</v>
      </c>
      <c r="Q22">
        <v>58000000</v>
      </c>
      <c r="R22">
        <v>0</v>
      </c>
      <c r="S22">
        <v>58000000</v>
      </c>
      <c r="T22">
        <v>63800000</v>
      </c>
      <c r="U22">
        <v>450000</v>
      </c>
      <c r="W22" t="s">
        <v>126</v>
      </c>
      <c r="X2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2">
        <v>18000000</v>
      </c>
      <c r="Z22">
        <v>0</v>
      </c>
      <c r="AA22">
        <v>0</v>
      </c>
      <c r="AB22">
        <v>18000000</v>
      </c>
      <c r="AC22">
        <v>0</v>
      </c>
      <c r="AD22">
        <v>18000000</v>
      </c>
      <c r="AE22">
        <v>19800000</v>
      </c>
      <c r="AF22">
        <v>2700000</v>
      </c>
      <c r="AH22" t="s">
        <v>221</v>
      </c>
      <c r="AI2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2">
        <v>10000000</v>
      </c>
      <c r="AK22">
        <v>0</v>
      </c>
      <c r="AL22">
        <v>0</v>
      </c>
      <c r="AM22">
        <v>10000000</v>
      </c>
      <c r="AN22">
        <v>0</v>
      </c>
      <c r="AO22">
        <v>10000000</v>
      </c>
      <c r="AP22">
        <v>11000000</v>
      </c>
      <c r="AQ22">
        <v>1500000</v>
      </c>
    </row>
    <row r="23" spans="1:43" x14ac:dyDescent="0.3">
      <c r="A23" t="s">
        <v>26</v>
      </c>
      <c r="B2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">
        <v>67000000</v>
      </c>
      <c r="D23">
        <v>0</v>
      </c>
      <c r="E23">
        <v>0</v>
      </c>
      <c r="F23">
        <v>67000000</v>
      </c>
      <c r="G23">
        <v>0</v>
      </c>
      <c r="H23">
        <v>67000000</v>
      </c>
      <c r="I23">
        <v>73700000</v>
      </c>
      <c r="J23">
        <v>0</v>
      </c>
      <c r="L23" t="s">
        <v>3</v>
      </c>
      <c r="M23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디올</v>
      </c>
      <c r="N23">
        <v>57000000</v>
      </c>
      <c r="O23">
        <v>0</v>
      </c>
      <c r="P23">
        <v>-5000000</v>
      </c>
      <c r="Q23">
        <v>52000000</v>
      </c>
      <c r="R23">
        <v>0</v>
      </c>
      <c r="S23">
        <v>52000000</v>
      </c>
      <c r="T23">
        <v>57200000</v>
      </c>
      <c r="U23">
        <v>0</v>
      </c>
      <c r="W23" t="s">
        <v>64</v>
      </c>
      <c r="X2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3">
        <v>17400000</v>
      </c>
      <c r="Z23">
        <v>0</v>
      </c>
      <c r="AA23">
        <v>0</v>
      </c>
      <c r="AB23">
        <v>17400000</v>
      </c>
      <c r="AC23">
        <v>0</v>
      </c>
      <c r="AD23">
        <v>17400000</v>
      </c>
      <c r="AE23">
        <v>19140000</v>
      </c>
      <c r="AF23">
        <v>2610000</v>
      </c>
      <c r="AH23" t="s">
        <v>232</v>
      </c>
      <c r="AI2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3">
        <v>10000000</v>
      </c>
      <c r="AK23">
        <v>0</v>
      </c>
      <c r="AL23">
        <v>0</v>
      </c>
      <c r="AM23">
        <v>10000000</v>
      </c>
      <c r="AN23">
        <v>0</v>
      </c>
      <c r="AO23">
        <v>10000000</v>
      </c>
      <c r="AP23">
        <v>11000000</v>
      </c>
      <c r="AQ23">
        <v>1500000</v>
      </c>
    </row>
    <row r="24" spans="1:43" x14ac:dyDescent="0.3">
      <c r="A24" t="s">
        <v>28</v>
      </c>
      <c r="B2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4">
        <v>60100000</v>
      </c>
      <c r="D24">
        <v>0</v>
      </c>
      <c r="E24">
        <v>0</v>
      </c>
      <c r="F24">
        <v>60100000</v>
      </c>
      <c r="G24">
        <v>8400000</v>
      </c>
      <c r="H24">
        <v>68500000</v>
      </c>
      <c r="I24">
        <v>75350000</v>
      </c>
      <c r="J24">
        <v>0</v>
      </c>
      <c r="L24" t="s">
        <v>27</v>
      </c>
      <c r="M2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4">
        <v>54000000</v>
      </c>
      <c r="O24">
        <v>0</v>
      </c>
      <c r="P24">
        <v>-3000000</v>
      </c>
      <c r="Q24">
        <v>51000000</v>
      </c>
      <c r="R24">
        <v>0</v>
      </c>
      <c r="S24">
        <v>51000000</v>
      </c>
      <c r="T24">
        <v>56100000</v>
      </c>
      <c r="U24">
        <v>0</v>
      </c>
      <c r="W24" t="s">
        <v>65</v>
      </c>
      <c r="X2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4">
        <v>17000000</v>
      </c>
      <c r="Z24">
        <v>0</v>
      </c>
      <c r="AA24">
        <v>0</v>
      </c>
      <c r="AB24">
        <v>17000000</v>
      </c>
      <c r="AC24">
        <v>5000000</v>
      </c>
      <c r="AD24">
        <v>22000000</v>
      </c>
      <c r="AE24">
        <v>18700000</v>
      </c>
      <c r="AF24">
        <v>2250000</v>
      </c>
      <c r="AH24" t="s">
        <v>33</v>
      </c>
      <c r="AI2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4">
        <v>10000000</v>
      </c>
      <c r="AK24">
        <v>0</v>
      </c>
      <c r="AL24">
        <v>0</v>
      </c>
      <c r="AM24">
        <v>10000000</v>
      </c>
      <c r="AN24">
        <v>0</v>
      </c>
      <c r="AO24">
        <v>10000000</v>
      </c>
      <c r="AP24">
        <v>11000000</v>
      </c>
      <c r="AQ24">
        <v>0</v>
      </c>
    </row>
    <row r="25" spans="1:43" x14ac:dyDescent="0.3">
      <c r="A25" t="s">
        <v>45</v>
      </c>
      <c r="B2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5">
        <v>60000000</v>
      </c>
      <c r="D25">
        <v>0</v>
      </c>
      <c r="E25">
        <v>-10050000</v>
      </c>
      <c r="F25">
        <v>49950000</v>
      </c>
      <c r="G25">
        <v>0</v>
      </c>
      <c r="H25">
        <v>49950000</v>
      </c>
      <c r="I25">
        <v>54945000</v>
      </c>
      <c r="J25">
        <v>3900000</v>
      </c>
      <c r="L25" t="s">
        <v>49</v>
      </c>
      <c r="M2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5">
        <v>50000000</v>
      </c>
      <c r="O25">
        <v>0</v>
      </c>
      <c r="P25">
        <v>0</v>
      </c>
      <c r="Q25">
        <v>50000000</v>
      </c>
      <c r="R25">
        <v>0</v>
      </c>
      <c r="S25">
        <v>50000000</v>
      </c>
      <c r="T25">
        <v>55000000</v>
      </c>
      <c r="U25">
        <v>7500000</v>
      </c>
      <c r="W25" t="s">
        <v>100</v>
      </c>
      <c r="X2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5">
        <v>17000000</v>
      </c>
      <c r="Z25">
        <v>0</v>
      </c>
      <c r="AA25">
        <v>0</v>
      </c>
      <c r="AB25">
        <v>17000000</v>
      </c>
      <c r="AC25">
        <v>0</v>
      </c>
      <c r="AD25">
        <v>17000000</v>
      </c>
      <c r="AE25">
        <v>9350000</v>
      </c>
      <c r="AF25">
        <v>0</v>
      </c>
      <c r="AH25" t="s">
        <v>238</v>
      </c>
      <c r="AI2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5">
        <v>10000000</v>
      </c>
      <c r="AK25">
        <v>0</v>
      </c>
      <c r="AL25">
        <v>0</v>
      </c>
      <c r="AM25">
        <v>10000000</v>
      </c>
      <c r="AN25">
        <v>0</v>
      </c>
      <c r="AO25">
        <v>10000000</v>
      </c>
      <c r="AP25">
        <v>11000000</v>
      </c>
      <c r="AQ25">
        <v>0</v>
      </c>
    </row>
    <row r="26" spans="1:43" x14ac:dyDescent="0.3">
      <c r="A26" t="s">
        <v>22</v>
      </c>
      <c r="B2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6">
        <v>55000000</v>
      </c>
      <c r="D26">
        <v>0</v>
      </c>
      <c r="E26">
        <v>0</v>
      </c>
      <c r="F26">
        <v>55000000</v>
      </c>
      <c r="G26">
        <v>0</v>
      </c>
      <c r="H26">
        <v>55000000</v>
      </c>
      <c r="I26">
        <v>60500000</v>
      </c>
      <c r="J26">
        <v>0</v>
      </c>
      <c r="L26" t="s">
        <v>56</v>
      </c>
      <c r="M2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6">
        <v>49500000</v>
      </c>
      <c r="O26">
        <v>0</v>
      </c>
      <c r="P26">
        <v>-11769780</v>
      </c>
      <c r="Q26">
        <v>37730220</v>
      </c>
      <c r="R26">
        <v>0</v>
      </c>
      <c r="S26">
        <v>37730220</v>
      </c>
      <c r="T26">
        <v>41503242</v>
      </c>
      <c r="U26">
        <v>0</v>
      </c>
      <c r="W26" t="s">
        <v>161</v>
      </c>
      <c r="X2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6">
        <v>17000000</v>
      </c>
      <c r="Z26">
        <v>0</v>
      </c>
      <c r="AA26">
        <v>0</v>
      </c>
      <c r="AB26">
        <v>17000000</v>
      </c>
      <c r="AC26">
        <v>0</v>
      </c>
      <c r="AD26">
        <v>17000000</v>
      </c>
      <c r="AE26">
        <v>18700000</v>
      </c>
      <c r="AF26">
        <v>3600000</v>
      </c>
      <c r="AH26" t="s">
        <v>244</v>
      </c>
      <c r="AI2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6">
        <v>9000000</v>
      </c>
      <c r="AK26">
        <v>0</v>
      </c>
      <c r="AL26">
        <v>0</v>
      </c>
      <c r="AM26">
        <v>9000000</v>
      </c>
      <c r="AN26">
        <v>0</v>
      </c>
      <c r="AO26">
        <v>9000000</v>
      </c>
      <c r="AP26">
        <v>9900000</v>
      </c>
      <c r="AQ26">
        <v>900000</v>
      </c>
    </row>
    <row r="27" spans="1:43" x14ac:dyDescent="0.3">
      <c r="A27" t="s">
        <v>39</v>
      </c>
      <c r="B2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7">
        <v>50500000</v>
      </c>
      <c r="D27">
        <v>0</v>
      </c>
      <c r="E27">
        <v>-18400000</v>
      </c>
      <c r="F27">
        <v>32100000</v>
      </c>
      <c r="G27">
        <v>0</v>
      </c>
      <c r="H27">
        <v>32100000</v>
      </c>
      <c r="I27">
        <v>35310000</v>
      </c>
      <c r="J27">
        <v>0</v>
      </c>
      <c r="L27" t="s">
        <v>60</v>
      </c>
      <c r="M2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7">
        <v>46200000</v>
      </c>
      <c r="O27">
        <v>0</v>
      </c>
      <c r="P27">
        <v>0</v>
      </c>
      <c r="Q27">
        <v>46200000</v>
      </c>
      <c r="R27">
        <v>0</v>
      </c>
      <c r="S27">
        <v>46200000</v>
      </c>
      <c r="T27">
        <v>50820000</v>
      </c>
      <c r="U27">
        <v>0</v>
      </c>
      <c r="W27" t="s">
        <v>178</v>
      </c>
      <c r="X2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7">
        <v>15000000</v>
      </c>
      <c r="Z27">
        <v>-10000000</v>
      </c>
      <c r="AA27">
        <v>0</v>
      </c>
      <c r="AB27">
        <v>5000000</v>
      </c>
      <c r="AC27">
        <v>0</v>
      </c>
      <c r="AD27">
        <v>5000000</v>
      </c>
      <c r="AE27">
        <v>5500000</v>
      </c>
      <c r="AF27">
        <v>2250000</v>
      </c>
      <c r="AH27" t="s">
        <v>246</v>
      </c>
      <c r="AI2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7">
        <v>9000000</v>
      </c>
      <c r="AK27">
        <v>0</v>
      </c>
      <c r="AL27">
        <v>0</v>
      </c>
      <c r="AM27">
        <v>9000000</v>
      </c>
      <c r="AN27">
        <v>0</v>
      </c>
      <c r="AO27">
        <v>9000000</v>
      </c>
      <c r="AP27">
        <v>9900000</v>
      </c>
      <c r="AQ27">
        <v>0</v>
      </c>
    </row>
    <row r="28" spans="1:43" x14ac:dyDescent="0.3">
      <c r="A28" t="s">
        <v>20</v>
      </c>
      <c r="B2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8">
        <v>46000000</v>
      </c>
      <c r="D28">
        <v>0</v>
      </c>
      <c r="E28">
        <v>-3600000</v>
      </c>
      <c r="F28">
        <v>42400000</v>
      </c>
      <c r="G28">
        <v>0</v>
      </c>
      <c r="H28">
        <v>42400000</v>
      </c>
      <c r="I28">
        <v>46640000</v>
      </c>
      <c r="J28">
        <v>6150000</v>
      </c>
      <c r="L28" t="s">
        <v>35</v>
      </c>
      <c r="M2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8">
        <v>45000000</v>
      </c>
      <c r="O28">
        <v>0</v>
      </c>
      <c r="P28">
        <v>0</v>
      </c>
      <c r="Q28">
        <v>45000000</v>
      </c>
      <c r="R28">
        <v>0</v>
      </c>
      <c r="S28">
        <v>45000000</v>
      </c>
      <c r="T28">
        <v>49500000</v>
      </c>
      <c r="U28">
        <v>0</v>
      </c>
      <c r="W28" t="s">
        <v>83</v>
      </c>
      <c r="X2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8">
        <v>15000000</v>
      </c>
      <c r="Z28">
        <v>0</v>
      </c>
      <c r="AA28">
        <v>-5000000</v>
      </c>
      <c r="AB28">
        <v>10000000</v>
      </c>
      <c r="AC28">
        <v>0</v>
      </c>
      <c r="AD28">
        <v>10000000</v>
      </c>
      <c r="AE28">
        <v>11000000</v>
      </c>
      <c r="AF28">
        <v>0</v>
      </c>
      <c r="AH28" t="s">
        <v>95</v>
      </c>
      <c r="AI2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8">
        <v>9000000</v>
      </c>
      <c r="AK28">
        <v>0</v>
      </c>
      <c r="AL28">
        <v>0</v>
      </c>
      <c r="AM28">
        <v>9000000</v>
      </c>
      <c r="AN28">
        <v>0</v>
      </c>
      <c r="AO28">
        <v>9000000</v>
      </c>
      <c r="AP28">
        <v>9900000</v>
      </c>
      <c r="AQ28">
        <v>1350000</v>
      </c>
    </row>
    <row r="29" spans="1:43" x14ac:dyDescent="0.3">
      <c r="A29" t="s">
        <v>53</v>
      </c>
      <c r="B2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9">
        <v>43000000</v>
      </c>
      <c r="D29">
        <v>0</v>
      </c>
      <c r="E29">
        <v>-6000000</v>
      </c>
      <c r="F29">
        <v>37000000</v>
      </c>
      <c r="G29">
        <v>0</v>
      </c>
      <c r="H29">
        <v>37000000</v>
      </c>
      <c r="I29">
        <v>40700000</v>
      </c>
      <c r="J29">
        <v>1500000</v>
      </c>
      <c r="L29" t="s">
        <v>61</v>
      </c>
      <c r="M2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9">
        <v>40000000</v>
      </c>
      <c r="O29">
        <v>0</v>
      </c>
      <c r="P29">
        <v>0</v>
      </c>
      <c r="Q29">
        <v>40000000</v>
      </c>
      <c r="R29">
        <v>0</v>
      </c>
      <c r="S29">
        <v>40000000</v>
      </c>
      <c r="T29">
        <v>44000000</v>
      </c>
      <c r="U29">
        <v>6000000</v>
      </c>
      <c r="W29" t="s">
        <v>185</v>
      </c>
      <c r="X2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29">
        <v>14500000</v>
      </c>
      <c r="Z29">
        <v>0</v>
      </c>
      <c r="AA29">
        <v>0</v>
      </c>
      <c r="AB29">
        <v>14500000</v>
      </c>
      <c r="AC29">
        <v>0</v>
      </c>
      <c r="AD29">
        <v>14500000</v>
      </c>
      <c r="AE29">
        <v>15950000</v>
      </c>
      <c r="AF29">
        <v>0</v>
      </c>
      <c r="AH29" t="s">
        <v>255</v>
      </c>
      <c r="AI2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29">
        <v>8181818</v>
      </c>
      <c r="AK29">
        <v>0</v>
      </c>
      <c r="AL29">
        <v>0</v>
      </c>
      <c r="AM29">
        <v>8181818</v>
      </c>
      <c r="AN29">
        <v>0</v>
      </c>
      <c r="AO29">
        <v>8181818</v>
      </c>
      <c r="AP29">
        <v>9000000</v>
      </c>
      <c r="AQ29">
        <v>0</v>
      </c>
    </row>
    <row r="30" spans="1:43" x14ac:dyDescent="0.3">
      <c r="A30" t="s">
        <v>36</v>
      </c>
      <c r="B3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0">
        <v>41300000</v>
      </c>
      <c r="D30">
        <v>0</v>
      </c>
      <c r="E30">
        <v>-2500000</v>
      </c>
      <c r="F30">
        <v>38800000</v>
      </c>
      <c r="G30">
        <v>0</v>
      </c>
      <c r="H30">
        <v>38800000</v>
      </c>
      <c r="I30">
        <v>42680000</v>
      </c>
      <c r="J30">
        <v>0</v>
      </c>
      <c r="L30" t="s">
        <v>32</v>
      </c>
      <c r="M3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0">
        <v>39000000</v>
      </c>
      <c r="O30">
        <v>0</v>
      </c>
      <c r="P30">
        <v>0</v>
      </c>
      <c r="Q30">
        <v>39000000</v>
      </c>
      <c r="R30">
        <v>0</v>
      </c>
      <c r="S30">
        <v>39000000</v>
      </c>
      <c r="T30">
        <v>39000000</v>
      </c>
      <c r="U30">
        <v>0</v>
      </c>
      <c r="W30" t="s">
        <v>188</v>
      </c>
      <c r="X3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0">
        <v>14000000</v>
      </c>
      <c r="Z30">
        <v>-14000000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2100000</v>
      </c>
      <c r="AH30" t="s">
        <v>260</v>
      </c>
      <c r="AI3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0">
        <v>8000000</v>
      </c>
      <c r="AK30">
        <v>0</v>
      </c>
      <c r="AL30">
        <v>0</v>
      </c>
      <c r="AM30">
        <v>8000000</v>
      </c>
      <c r="AN30">
        <v>0</v>
      </c>
      <c r="AO30">
        <v>8000000</v>
      </c>
      <c r="AP30">
        <v>8800000</v>
      </c>
      <c r="AQ30">
        <v>1500000</v>
      </c>
    </row>
    <row r="31" spans="1:43" x14ac:dyDescent="0.3">
      <c r="A31" t="s">
        <v>69</v>
      </c>
      <c r="B3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1">
        <v>40000000</v>
      </c>
      <c r="D31">
        <v>0</v>
      </c>
      <c r="E31">
        <v>-4900000</v>
      </c>
      <c r="F31">
        <v>35100000</v>
      </c>
      <c r="G31">
        <v>0</v>
      </c>
      <c r="H31">
        <v>35100000</v>
      </c>
      <c r="I31">
        <v>38610000</v>
      </c>
      <c r="J31">
        <v>4500000</v>
      </c>
      <c r="L31" t="s">
        <v>47</v>
      </c>
      <c r="M3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1">
        <v>38000000</v>
      </c>
      <c r="O31">
        <v>0</v>
      </c>
      <c r="P31">
        <v>-6400000</v>
      </c>
      <c r="Q31">
        <v>31600000</v>
      </c>
      <c r="R31">
        <v>0</v>
      </c>
      <c r="S31">
        <v>31600000</v>
      </c>
      <c r="T31">
        <v>34760000</v>
      </c>
      <c r="U31">
        <v>0</v>
      </c>
      <c r="W31" t="s">
        <v>173</v>
      </c>
      <c r="X3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1">
        <v>13000000</v>
      </c>
      <c r="Z31">
        <v>0</v>
      </c>
      <c r="AA31">
        <v>0</v>
      </c>
      <c r="AB31">
        <v>13000000</v>
      </c>
      <c r="AC31">
        <v>0</v>
      </c>
      <c r="AD31">
        <v>13000000</v>
      </c>
      <c r="AE31">
        <v>14300000</v>
      </c>
      <c r="AF31">
        <v>2250000</v>
      </c>
      <c r="AH31" t="s">
        <v>262</v>
      </c>
      <c r="AI3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1">
        <v>8000000</v>
      </c>
      <c r="AK31">
        <v>0</v>
      </c>
      <c r="AL31">
        <v>0</v>
      </c>
      <c r="AM31">
        <v>8000000</v>
      </c>
      <c r="AN31">
        <v>0</v>
      </c>
      <c r="AO31">
        <v>8000000</v>
      </c>
      <c r="AP31">
        <v>8800000</v>
      </c>
      <c r="AQ31">
        <v>1200000</v>
      </c>
    </row>
    <row r="32" spans="1:43" x14ac:dyDescent="0.3">
      <c r="A32" t="s">
        <v>48</v>
      </c>
      <c r="B3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2">
        <v>39000000</v>
      </c>
      <c r="D32">
        <v>0</v>
      </c>
      <c r="E32">
        <v>-550000</v>
      </c>
      <c r="F32">
        <v>38450000</v>
      </c>
      <c r="G32">
        <v>0</v>
      </c>
      <c r="H32">
        <v>38450000</v>
      </c>
      <c r="I32">
        <v>42295000</v>
      </c>
      <c r="J32">
        <v>0</v>
      </c>
      <c r="L32" t="s">
        <v>41</v>
      </c>
      <c r="M3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2">
        <v>37000000</v>
      </c>
      <c r="O32">
        <v>-20000000</v>
      </c>
      <c r="P32">
        <v>0</v>
      </c>
      <c r="Q32">
        <v>17000000</v>
      </c>
      <c r="R32">
        <v>20000000</v>
      </c>
      <c r="S32">
        <v>37000000</v>
      </c>
      <c r="T32">
        <v>40700000</v>
      </c>
      <c r="U32">
        <v>0</v>
      </c>
      <c r="W32" t="s">
        <v>159</v>
      </c>
      <c r="X3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2">
        <v>12750000</v>
      </c>
      <c r="Z32">
        <v>0</v>
      </c>
      <c r="AA32">
        <v>0</v>
      </c>
      <c r="AB32">
        <v>12750000</v>
      </c>
      <c r="AC32">
        <v>0</v>
      </c>
      <c r="AD32">
        <v>12750000</v>
      </c>
      <c r="AE32">
        <v>14025000</v>
      </c>
      <c r="AF32">
        <v>0</v>
      </c>
      <c r="AH32" t="s">
        <v>266</v>
      </c>
      <c r="AI3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2">
        <v>8000000</v>
      </c>
      <c r="AK32">
        <v>0</v>
      </c>
      <c r="AL32">
        <v>0</v>
      </c>
      <c r="AM32">
        <v>8000000</v>
      </c>
      <c r="AN32">
        <v>0</v>
      </c>
      <c r="AO32">
        <v>8000000</v>
      </c>
      <c r="AP32">
        <v>8800000</v>
      </c>
      <c r="AQ32">
        <v>1200000</v>
      </c>
    </row>
    <row r="33" spans="1:43" x14ac:dyDescent="0.3">
      <c r="A33" t="s">
        <v>73</v>
      </c>
      <c r="B3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3">
        <v>39000000</v>
      </c>
      <c r="D33">
        <v>0</v>
      </c>
      <c r="E33">
        <v>0</v>
      </c>
      <c r="F33">
        <v>39000000</v>
      </c>
      <c r="G33">
        <v>0</v>
      </c>
      <c r="H33">
        <v>39000000</v>
      </c>
      <c r="I33">
        <v>42900000</v>
      </c>
      <c r="J33">
        <v>0</v>
      </c>
      <c r="L33" t="s">
        <v>78</v>
      </c>
      <c r="M3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3">
        <v>36000000</v>
      </c>
      <c r="O33">
        <v>0</v>
      </c>
      <c r="P33">
        <v>0</v>
      </c>
      <c r="Q33">
        <v>36000000</v>
      </c>
      <c r="R33">
        <v>0</v>
      </c>
      <c r="S33">
        <v>36000000</v>
      </c>
      <c r="T33">
        <v>39600000</v>
      </c>
      <c r="U33">
        <v>5400000</v>
      </c>
      <c r="W33" t="s">
        <v>192</v>
      </c>
      <c r="X3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3">
        <v>12400000</v>
      </c>
      <c r="Z33">
        <v>0</v>
      </c>
      <c r="AA33">
        <v>0</v>
      </c>
      <c r="AB33">
        <v>12400000</v>
      </c>
      <c r="AC33">
        <v>0</v>
      </c>
      <c r="AD33">
        <v>12400000</v>
      </c>
      <c r="AE33">
        <v>13640000</v>
      </c>
      <c r="AF33">
        <v>1875000</v>
      </c>
      <c r="AH33" t="s">
        <v>88</v>
      </c>
      <c r="AI3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3">
        <v>7500000</v>
      </c>
      <c r="AK33">
        <v>0</v>
      </c>
      <c r="AL33">
        <v>0</v>
      </c>
      <c r="AM33">
        <v>7500000</v>
      </c>
      <c r="AN33">
        <v>0</v>
      </c>
      <c r="AO33">
        <v>7500000</v>
      </c>
      <c r="AP33">
        <v>8250000</v>
      </c>
      <c r="AQ33">
        <v>1125000</v>
      </c>
    </row>
    <row r="34" spans="1:43" x14ac:dyDescent="0.3">
      <c r="A34" t="s">
        <v>27</v>
      </c>
      <c r="B3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4">
        <v>39000000</v>
      </c>
      <c r="D34">
        <v>0</v>
      </c>
      <c r="E34">
        <v>-14000000</v>
      </c>
      <c r="F34">
        <v>25000000</v>
      </c>
      <c r="G34">
        <v>0</v>
      </c>
      <c r="H34">
        <v>25000000</v>
      </c>
      <c r="I34">
        <v>27500000</v>
      </c>
      <c r="J34">
        <v>0</v>
      </c>
      <c r="L34" t="s">
        <v>26</v>
      </c>
      <c r="M3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4">
        <v>34000000</v>
      </c>
      <c r="O34">
        <v>-10000000</v>
      </c>
      <c r="P34">
        <v>0</v>
      </c>
      <c r="Q34">
        <v>24000000</v>
      </c>
      <c r="R34">
        <v>0</v>
      </c>
      <c r="S34">
        <v>24000000</v>
      </c>
      <c r="T34">
        <v>26400000</v>
      </c>
      <c r="U34">
        <v>0</v>
      </c>
      <c r="W34" t="s">
        <v>194</v>
      </c>
      <c r="X3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4">
        <v>12000000</v>
      </c>
      <c r="Z34">
        <v>0</v>
      </c>
      <c r="AA34">
        <v>0</v>
      </c>
      <c r="AB34">
        <v>12000000</v>
      </c>
      <c r="AC34">
        <v>0</v>
      </c>
      <c r="AD34">
        <v>12000000</v>
      </c>
      <c r="AE34">
        <v>13200000</v>
      </c>
      <c r="AF34">
        <v>1350000</v>
      </c>
      <c r="AH34" t="s">
        <v>275</v>
      </c>
      <c r="AI3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4">
        <v>7000000</v>
      </c>
      <c r="AK34">
        <v>-7000000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1050000</v>
      </c>
    </row>
    <row r="35" spans="1:43" x14ac:dyDescent="0.3">
      <c r="A35" t="s">
        <v>32</v>
      </c>
      <c r="B3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5">
        <v>39000000</v>
      </c>
      <c r="D35">
        <v>0</v>
      </c>
      <c r="E35">
        <v>0</v>
      </c>
      <c r="F35">
        <v>39000000</v>
      </c>
      <c r="G35">
        <v>0</v>
      </c>
      <c r="H35">
        <v>39000000</v>
      </c>
      <c r="I35">
        <v>27000000</v>
      </c>
      <c r="J35">
        <v>0</v>
      </c>
      <c r="L35" t="s">
        <v>5</v>
      </c>
      <c r="M35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프라다</v>
      </c>
      <c r="N35">
        <v>34000000</v>
      </c>
      <c r="O35">
        <v>0</v>
      </c>
      <c r="P35">
        <v>0</v>
      </c>
      <c r="Q35">
        <v>34000000</v>
      </c>
      <c r="R35">
        <v>0</v>
      </c>
      <c r="S35">
        <v>34000000</v>
      </c>
      <c r="T35">
        <v>37400000</v>
      </c>
      <c r="U35">
        <v>0</v>
      </c>
      <c r="W35" t="s">
        <v>122</v>
      </c>
      <c r="X3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5">
        <v>12000000</v>
      </c>
      <c r="Z35">
        <v>0</v>
      </c>
      <c r="AA35">
        <v>-2000000</v>
      </c>
      <c r="AB35">
        <v>10000000</v>
      </c>
      <c r="AC35">
        <v>0</v>
      </c>
      <c r="AD35">
        <v>10000000</v>
      </c>
      <c r="AE35">
        <v>11000000</v>
      </c>
      <c r="AF35">
        <v>0</v>
      </c>
      <c r="AH35" t="s">
        <v>196</v>
      </c>
      <c r="AI3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5">
        <v>6000000</v>
      </c>
      <c r="AK35">
        <v>0</v>
      </c>
      <c r="AL35">
        <v>0</v>
      </c>
      <c r="AM35">
        <v>6000000</v>
      </c>
      <c r="AN35">
        <v>0</v>
      </c>
      <c r="AO35">
        <v>6000000</v>
      </c>
      <c r="AP35">
        <v>6000000</v>
      </c>
      <c r="AQ35">
        <v>0</v>
      </c>
    </row>
    <row r="36" spans="1:43" x14ac:dyDescent="0.3">
      <c r="A36" t="s">
        <v>19</v>
      </c>
      <c r="B3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6">
        <v>39000000</v>
      </c>
      <c r="D36">
        <v>0</v>
      </c>
      <c r="E36">
        <v>-8170000</v>
      </c>
      <c r="F36">
        <v>30830000</v>
      </c>
      <c r="G36">
        <v>0</v>
      </c>
      <c r="H36">
        <v>30830000</v>
      </c>
      <c r="I36">
        <v>33913000</v>
      </c>
      <c r="J36">
        <v>5100000</v>
      </c>
      <c r="L36" t="s">
        <v>52</v>
      </c>
      <c r="M3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6">
        <v>33000000</v>
      </c>
      <c r="O36">
        <v>0</v>
      </c>
      <c r="P36">
        <v>-10150000</v>
      </c>
      <c r="Q36">
        <v>22850000</v>
      </c>
      <c r="R36">
        <v>0</v>
      </c>
      <c r="S36">
        <v>22850000</v>
      </c>
      <c r="T36">
        <v>25135000</v>
      </c>
      <c r="U36">
        <v>0</v>
      </c>
      <c r="W36" t="s">
        <v>201</v>
      </c>
      <c r="X3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6">
        <v>12000000</v>
      </c>
      <c r="Z36">
        <v>0</v>
      </c>
      <c r="AA36">
        <v>0</v>
      </c>
      <c r="AB36">
        <v>12000000</v>
      </c>
      <c r="AC36">
        <v>0</v>
      </c>
      <c r="AD36">
        <v>12000000</v>
      </c>
      <c r="AE36">
        <v>13200000</v>
      </c>
      <c r="AF36">
        <v>0</v>
      </c>
      <c r="AH36" t="s">
        <v>157</v>
      </c>
      <c r="AI3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6">
        <v>6000000</v>
      </c>
      <c r="AK36">
        <v>0</v>
      </c>
      <c r="AL36">
        <v>0</v>
      </c>
      <c r="AM36">
        <v>6000000</v>
      </c>
      <c r="AN36">
        <v>0</v>
      </c>
      <c r="AO36">
        <v>6000000</v>
      </c>
      <c r="AP36">
        <v>6600000</v>
      </c>
      <c r="AQ36">
        <v>0</v>
      </c>
    </row>
    <row r="37" spans="1:43" x14ac:dyDescent="0.3">
      <c r="A37" t="s">
        <v>76</v>
      </c>
      <c r="B3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7">
        <v>36000000</v>
      </c>
      <c r="D37">
        <v>0</v>
      </c>
      <c r="E37">
        <v>-2200000</v>
      </c>
      <c r="F37">
        <v>33800000</v>
      </c>
      <c r="G37">
        <v>0</v>
      </c>
      <c r="H37">
        <v>33800000</v>
      </c>
      <c r="I37">
        <v>37180000</v>
      </c>
      <c r="J37">
        <v>0</v>
      </c>
      <c r="L37" t="s">
        <v>46</v>
      </c>
      <c r="M3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7">
        <v>33000000</v>
      </c>
      <c r="O37">
        <v>0</v>
      </c>
      <c r="P37">
        <v>-8860000</v>
      </c>
      <c r="Q37">
        <v>24140000</v>
      </c>
      <c r="R37">
        <v>0</v>
      </c>
      <c r="S37">
        <v>24140000</v>
      </c>
      <c r="T37">
        <v>26554000</v>
      </c>
      <c r="U37">
        <v>0</v>
      </c>
      <c r="W37" t="s">
        <v>204</v>
      </c>
      <c r="X3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7">
        <v>11900000</v>
      </c>
      <c r="Z37">
        <v>0</v>
      </c>
      <c r="AA37">
        <v>-50000</v>
      </c>
      <c r="AB37">
        <v>11850000</v>
      </c>
      <c r="AC37">
        <v>0</v>
      </c>
      <c r="AD37">
        <v>11850000</v>
      </c>
      <c r="AE37">
        <v>13035000</v>
      </c>
      <c r="AF37">
        <v>0</v>
      </c>
      <c r="AH37" t="s">
        <v>286</v>
      </c>
      <c r="AI3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7">
        <v>6000000</v>
      </c>
      <c r="AK37">
        <v>0</v>
      </c>
      <c r="AL37">
        <v>0</v>
      </c>
      <c r="AM37">
        <v>6000000</v>
      </c>
      <c r="AN37">
        <v>0</v>
      </c>
      <c r="AO37">
        <v>6000000</v>
      </c>
      <c r="AP37">
        <v>6600000</v>
      </c>
      <c r="AQ37">
        <v>900000</v>
      </c>
    </row>
    <row r="38" spans="1:43" x14ac:dyDescent="0.3">
      <c r="A38" t="s">
        <v>14</v>
      </c>
      <c r="B3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8">
        <v>36000000</v>
      </c>
      <c r="D38">
        <v>0</v>
      </c>
      <c r="E38">
        <v>0</v>
      </c>
      <c r="F38">
        <v>36000000</v>
      </c>
      <c r="G38">
        <v>0</v>
      </c>
      <c r="H38">
        <v>36000000</v>
      </c>
      <c r="I38">
        <v>39600000</v>
      </c>
      <c r="J38">
        <v>5400000</v>
      </c>
      <c r="L38" t="s">
        <v>82</v>
      </c>
      <c r="M3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8">
        <v>33000000</v>
      </c>
      <c r="O38">
        <v>0</v>
      </c>
      <c r="P38">
        <v>0</v>
      </c>
      <c r="Q38">
        <v>33000000</v>
      </c>
      <c r="R38">
        <v>0</v>
      </c>
      <c r="S38">
        <v>33000000</v>
      </c>
      <c r="T38">
        <v>36300000</v>
      </c>
      <c r="U38">
        <v>4950000</v>
      </c>
      <c r="W38" t="s">
        <v>184</v>
      </c>
      <c r="X3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8">
        <v>11800000</v>
      </c>
      <c r="Z38">
        <v>0</v>
      </c>
      <c r="AA38">
        <v>-100000</v>
      </c>
      <c r="AB38">
        <v>11700000</v>
      </c>
      <c r="AC38">
        <v>0</v>
      </c>
      <c r="AD38">
        <v>11700000</v>
      </c>
      <c r="AE38">
        <v>12870000</v>
      </c>
      <c r="AF38">
        <v>1860000</v>
      </c>
      <c r="AH38" t="s">
        <v>12</v>
      </c>
      <c r="AI3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8">
        <v>5000000</v>
      </c>
      <c r="AK38">
        <v>0</v>
      </c>
      <c r="AL38">
        <v>0</v>
      </c>
      <c r="AM38">
        <v>5000000</v>
      </c>
      <c r="AN38">
        <v>0</v>
      </c>
      <c r="AO38">
        <v>5000000</v>
      </c>
      <c r="AP38">
        <v>5500000</v>
      </c>
      <c r="AQ38">
        <v>0</v>
      </c>
    </row>
    <row r="39" spans="1:43" x14ac:dyDescent="0.3">
      <c r="A39" t="s">
        <v>44</v>
      </c>
      <c r="B3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39">
        <v>35000000</v>
      </c>
      <c r="D39">
        <v>-28500000</v>
      </c>
      <c r="E39">
        <v>-1500000</v>
      </c>
      <c r="F39">
        <v>5000000</v>
      </c>
      <c r="G39">
        <v>28500000</v>
      </c>
      <c r="H39">
        <v>33500000</v>
      </c>
      <c r="I39">
        <v>36850000</v>
      </c>
      <c r="J39">
        <v>750000</v>
      </c>
      <c r="L39" t="s">
        <v>36</v>
      </c>
      <c r="M3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39">
        <v>32700000</v>
      </c>
      <c r="O39">
        <v>0</v>
      </c>
      <c r="P39">
        <v>0</v>
      </c>
      <c r="Q39">
        <v>32700000</v>
      </c>
      <c r="R39">
        <v>0</v>
      </c>
      <c r="S39">
        <v>32700000</v>
      </c>
      <c r="T39">
        <v>35970000</v>
      </c>
      <c r="U39">
        <v>0</v>
      </c>
      <c r="W39" t="s">
        <v>211</v>
      </c>
      <c r="X3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39">
        <v>10616667</v>
      </c>
      <c r="Z39">
        <v>0</v>
      </c>
      <c r="AA39">
        <v>0</v>
      </c>
      <c r="AB39">
        <v>10616667</v>
      </c>
      <c r="AC39">
        <v>0</v>
      </c>
      <c r="AD39">
        <v>10616667</v>
      </c>
      <c r="AE39">
        <v>11678334</v>
      </c>
      <c r="AF39">
        <v>0</v>
      </c>
      <c r="AH39" t="s">
        <v>295</v>
      </c>
      <c r="AI3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39">
        <v>5000000</v>
      </c>
      <c r="AK39">
        <v>0</v>
      </c>
      <c r="AL39">
        <v>0</v>
      </c>
      <c r="AM39">
        <v>5000000</v>
      </c>
      <c r="AN39">
        <v>0</v>
      </c>
      <c r="AO39">
        <v>5000000</v>
      </c>
      <c r="AP39">
        <v>5500000</v>
      </c>
      <c r="AQ39">
        <v>0</v>
      </c>
    </row>
    <row r="40" spans="1:43" x14ac:dyDescent="0.3">
      <c r="A40" t="s">
        <v>40</v>
      </c>
      <c r="B4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0">
        <v>35000000</v>
      </c>
      <c r="D40">
        <v>0</v>
      </c>
      <c r="E40">
        <v>-8450000</v>
      </c>
      <c r="F40">
        <v>26550000</v>
      </c>
      <c r="G40">
        <v>16000000</v>
      </c>
      <c r="H40">
        <v>42550000</v>
      </c>
      <c r="I40">
        <v>46805000</v>
      </c>
      <c r="J40">
        <v>0</v>
      </c>
      <c r="L40" t="s">
        <v>40</v>
      </c>
      <c r="M4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0">
        <v>31500000</v>
      </c>
      <c r="O40">
        <v>0</v>
      </c>
      <c r="P40">
        <v>0</v>
      </c>
      <c r="Q40">
        <v>31500000</v>
      </c>
      <c r="R40">
        <v>0</v>
      </c>
      <c r="S40">
        <v>31500000</v>
      </c>
      <c r="T40">
        <v>34650000</v>
      </c>
      <c r="U40">
        <v>0</v>
      </c>
      <c r="W40" t="s">
        <v>215</v>
      </c>
      <c r="X4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0">
        <v>10000000</v>
      </c>
      <c r="Z40">
        <v>0</v>
      </c>
      <c r="AA40">
        <v>0</v>
      </c>
      <c r="AB40">
        <v>10000000</v>
      </c>
      <c r="AC40">
        <v>0</v>
      </c>
      <c r="AD40">
        <v>10000000</v>
      </c>
      <c r="AE40">
        <v>11000000</v>
      </c>
      <c r="AF40">
        <v>1500000</v>
      </c>
      <c r="AH40" t="s">
        <v>126</v>
      </c>
      <c r="AI4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0">
        <v>5000000</v>
      </c>
      <c r="AK40">
        <v>0</v>
      </c>
      <c r="AL40">
        <v>0</v>
      </c>
      <c r="AM40">
        <v>5000000</v>
      </c>
      <c r="AN40">
        <v>0</v>
      </c>
      <c r="AO40">
        <v>5000000</v>
      </c>
      <c r="AP40">
        <v>5500000</v>
      </c>
      <c r="AQ40">
        <v>750000</v>
      </c>
    </row>
    <row r="41" spans="1:43" x14ac:dyDescent="0.3">
      <c r="A41" t="s">
        <v>72</v>
      </c>
      <c r="B4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1">
        <v>34250000</v>
      </c>
      <c r="D41">
        <v>0</v>
      </c>
      <c r="E41">
        <v>-12050000</v>
      </c>
      <c r="F41">
        <v>22200000</v>
      </c>
      <c r="G41">
        <v>0</v>
      </c>
      <c r="H41">
        <v>22200000</v>
      </c>
      <c r="I41">
        <v>24420000</v>
      </c>
      <c r="J41">
        <v>4500000</v>
      </c>
      <c r="L41" t="s">
        <v>68</v>
      </c>
      <c r="M4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1">
        <v>31300000</v>
      </c>
      <c r="O41">
        <v>0</v>
      </c>
      <c r="P41">
        <v>0</v>
      </c>
      <c r="Q41">
        <v>31300000</v>
      </c>
      <c r="R41">
        <v>0</v>
      </c>
      <c r="S41">
        <v>31300000</v>
      </c>
      <c r="T41">
        <v>34430000</v>
      </c>
      <c r="U41">
        <v>0</v>
      </c>
      <c r="W41" t="s">
        <v>139</v>
      </c>
      <c r="X4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1">
        <v>10000000</v>
      </c>
      <c r="Z41">
        <v>0</v>
      </c>
      <c r="AA41">
        <v>0</v>
      </c>
      <c r="AB41">
        <v>10000000</v>
      </c>
      <c r="AC41">
        <v>0</v>
      </c>
      <c r="AD41">
        <v>10000000</v>
      </c>
      <c r="AE41">
        <v>11000000</v>
      </c>
      <c r="AF41">
        <v>0</v>
      </c>
      <c r="AH41" t="s">
        <v>298</v>
      </c>
      <c r="AI4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1">
        <v>5000000</v>
      </c>
      <c r="AK41">
        <v>-5000000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750000</v>
      </c>
    </row>
    <row r="42" spans="1:43" x14ac:dyDescent="0.3">
      <c r="A42" t="s">
        <v>80</v>
      </c>
      <c r="B4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2">
        <v>34020000</v>
      </c>
      <c r="D42">
        <v>0</v>
      </c>
      <c r="E42">
        <v>0</v>
      </c>
      <c r="F42">
        <v>34020000</v>
      </c>
      <c r="G42">
        <v>0</v>
      </c>
      <c r="H42">
        <v>34020000</v>
      </c>
      <c r="I42">
        <v>37422000</v>
      </c>
      <c r="J42">
        <v>0</v>
      </c>
      <c r="L42" t="s">
        <v>28</v>
      </c>
      <c r="M4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2">
        <v>31300000</v>
      </c>
      <c r="O42">
        <v>0</v>
      </c>
      <c r="P42">
        <v>0</v>
      </c>
      <c r="Q42">
        <v>31300000</v>
      </c>
      <c r="R42">
        <v>0</v>
      </c>
      <c r="S42">
        <v>31300000</v>
      </c>
      <c r="T42">
        <v>34430000</v>
      </c>
      <c r="U42">
        <v>0</v>
      </c>
      <c r="W42" t="s">
        <v>20</v>
      </c>
      <c r="X4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2">
        <v>10000000</v>
      </c>
      <c r="Z42">
        <v>0</v>
      </c>
      <c r="AA42">
        <v>0</v>
      </c>
      <c r="AB42">
        <v>10000000</v>
      </c>
      <c r="AC42">
        <v>0</v>
      </c>
      <c r="AD42">
        <v>10000000</v>
      </c>
      <c r="AE42">
        <v>11000000</v>
      </c>
      <c r="AF42">
        <v>1500000</v>
      </c>
      <c r="AH42" t="s">
        <v>159</v>
      </c>
      <c r="AI4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2">
        <v>5000000</v>
      </c>
      <c r="AK42">
        <v>0</v>
      </c>
      <c r="AL42">
        <v>0</v>
      </c>
      <c r="AM42">
        <v>5000000</v>
      </c>
      <c r="AN42">
        <v>0</v>
      </c>
      <c r="AO42">
        <v>5000000</v>
      </c>
      <c r="AP42">
        <v>5500000</v>
      </c>
      <c r="AQ42">
        <v>750000</v>
      </c>
    </row>
    <row r="43" spans="1:43" x14ac:dyDescent="0.3">
      <c r="A43" t="s">
        <v>5</v>
      </c>
      <c r="B43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프라다</v>
      </c>
      <c r="C43">
        <v>34000000</v>
      </c>
      <c r="D43">
        <v>0</v>
      </c>
      <c r="E43">
        <v>0</v>
      </c>
      <c r="F43">
        <v>34000000</v>
      </c>
      <c r="G43">
        <v>0</v>
      </c>
      <c r="H43">
        <v>34000000</v>
      </c>
      <c r="I43">
        <v>37400000</v>
      </c>
      <c r="J43">
        <v>0</v>
      </c>
      <c r="L43" t="s">
        <v>84</v>
      </c>
      <c r="M4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3">
        <v>30000000</v>
      </c>
      <c r="O43">
        <v>0</v>
      </c>
      <c r="P43">
        <v>0</v>
      </c>
      <c r="Q43">
        <v>30000000</v>
      </c>
      <c r="R43">
        <v>0</v>
      </c>
      <c r="S43">
        <v>30000000</v>
      </c>
      <c r="T43">
        <v>33000000</v>
      </c>
      <c r="U43">
        <v>7500000</v>
      </c>
      <c r="W43" t="s">
        <v>6</v>
      </c>
      <c r="X4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3">
        <v>10000000</v>
      </c>
      <c r="Z43">
        <v>0</v>
      </c>
      <c r="AA43">
        <v>0</v>
      </c>
      <c r="AB43">
        <v>10000000</v>
      </c>
      <c r="AC43">
        <v>0</v>
      </c>
      <c r="AD43">
        <v>10000000</v>
      </c>
      <c r="AE43">
        <v>11000000</v>
      </c>
      <c r="AF43">
        <v>1500000</v>
      </c>
      <c r="AH43" t="s">
        <v>299</v>
      </c>
      <c r="AI4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3">
        <v>5000000</v>
      </c>
      <c r="AK43">
        <v>0</v>
      </c>
      <c r="AL43">
        <v>0</v>
      </c>
      <c r="AM43">
        <v>5000000</v>
      </c>
      <c r="AN43">
        <v>0</v>
      </c>
      <c r="AO43">
        <v>5000000</v>
      </c>
      <c r="AP43">
        <v>5500000</v>
      </c>
      <c r="AQ43">
        <v>750000</v>
      </c>
    </row>
    <row r="44" spans="1:43" x14ac:dyDescent="0.3">
      <c r="A44" t="s">
        <v>66</v>
      </c>
      <c r="B4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4">
        <v>34000000</v>
      </c>
      <c r="D44">
        <v>0</v>
      </c>
      <c r="E44">
        <v>-6050750</v>
      </c>
      <c r="F44">
        <v>27949250</v>
      </c>
      <c r="G44">
        <v>0</v>
      </c>
      <c r="H44">
        <v>27949250</v>
      </c>
      <c r="I44">
        <v>30744175</v>
      </c>
      <c r="J44">
        <v>0</v>
      </c>
      <c r="L44" t="s">
        <v>50</v>
      </c>
      <c r="M4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4">
        <v>30000000</v>
      </c>
      <c r="O44">
        <v>0</v>
      </c>
      <c r="P44">
        <v>-10510000</v>
      </c>
      <c r="Q44">
        <v>19490000</v>
      </c>
      <c r="R44">
        <v>0</v>
      </c>
      <c r="S44">
        <v>19490000</v>
      </c>
      <c r="T44">
        <v>21439000</v>
      </c>
      <c r="U44">
        <v>6750000</v>
      </c>
      <c r="W44" t="s">
        <v>10</v>
      </c>
      <c r="X4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4">
        <v>10000000</v>
      </c>
      <c r="Z44">
        <v>0</v>
      </c>
      <c r="AA44">
        <v>0</v>
      </c>
      <c r="AB44">
        <v>10000000</v>
      </c>
      <c r="AC44">
        <v>0</v>
      </c>
      <c r="AD44">
        <v>10000000</v>
      </c>
      <c r="AE44">
        <v>11000000</v>
      </c>
      <c r="AF44">
        <v>1500000</v>
      </c>
      <c r="AH44" t="s">
        <v>179</v>
      </c>
      <c r="AI4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4">
        <v>5000000</v>
      </c>
      <c r="AK44">
        <v>-1000000</v>
      </c>
      <c r="AL44">
        <v>0</v>
      </c>
      <c r="AM44">
        <v>4000000</v>
      </c>
      <c r="AN44">
        <v>0</v>
      </c>
      <c r="AO44">
        <v>4000000</v>
      </c>
      <c r="AP44">
        <v>4400000</v>
      </c>
      <c r="AQ44">
        <v>750000</v>
      </c>
    </row>
    <row r="45" spans="1:43" x14ac:dyDescent="0.3">
      <c r="A45" t="s">
        <v>81</v>
      </c>
      <c r="B4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5">
        <v>33000000</v>
      </c>
      <c r="D45">
        <v>0</v>
      </c>
      <c r="E45">
        <v>-6100000</v>
      </c>
      <c r="F45">
        <v>26900000</v>
      </c>
      <c r="G45">
        <v>0</v>
      </c>
      <c r="H45">
        <v>26900000</v>
      </c>
      <c r="I45">
        <v>29590000</v>
      </c>
      <c r="J45">
        <v>0</v>
      </c>
      <c r="L45" t="s">
        <v>93</v>
      </c>
      <c r="M4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5">
        <v>30000000</v>
      </c>
      <c r="O45">
        <v>0</v>
      </c>
      <c r="P45">
        <v>-5000000</v>
      </c>
      <c r="Q45">
        <v>25000000</v>
      </c>
      <c r="R45">
        <v>0</v>
      </c>
      <c r="S45">
        <v>25000000</v>
      </c>
      <c r="T45">
        <v>27500000</v>
      </c>
      <c r="U45">
        <v>4500000</v>
      </c>
      <c r="W45" t="s">
        <v>179</v>
      </c>
      <c r="X4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5">
        <v>10000000</v>
      </c>
      <c r="Z45">
        <v>0</v>
      </c>
      <c r="AA45">
        <v>0</v>
      </c>
      <c r="AB45">
        <v>10000000</v>
      </c>
      <c r="AC45">
        <v>0</v>
      </c>
      <c r="AD45">
        <v>10000000</v>
      </c>
      <c r="AE45">
        <v>11000000</v>
      </c>
      <c r="AF45">
        <v>1500000</v>
      </c>
      <c r="AH45" t="s">
        <v>200</v>
      </c>
      <c r="AI4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5">
        <v>5000000</v>
      </c>
      <c r="AK45">
        <v>0</v>
      </c>
      <c r="AL45">
        <v>0</v>
      </c>
      <c r="AM45">
        <v>5000000</v>
      </c>
      <c r="AN45">
        <v>0</v>
      </c>
      <c r="AO45">
        <v>5000000</v>
      </c>
      <c r="AP45">
        <v>5500000</v>
      </c>
      <c r="AQ45">
        <v>0</v>
      </c>
    </row>
    <row r="46" spans="1:43" x14ac:dyDescent="0.3">
      <c r="A46" t="s">
        <v>75</v>
      </c>
      <c r="B4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6">
        <v>32000000</v>
      </c>
      <c r="D46">
        <v>0</v>
      </c>
      <c r="E46">
        <v>0</v>
      </c>
      <c r="F46">
        <v>32000000</v>
      </c>
      <c r="G46">
        <v>0</v>
      </c>
      <c r="H46">
        <v>32000000</v>
      </c>
      <c r="I46">
        <v>35200000</v>
      </c>
      <c r="J46">
        <v>0</v>
      </c>
      <c r="L46" t="s">
        <v>51</v>
      </c>
      <c r="M4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6">
        <v>28500000</v>
      </c>
      <c r="O46">
        <v>-6500000</v>
      </c>
      <c r="P46">
        <v>0</v>
      </c>
      <c r="Q46">
        <v>22000000</v>
      </c>
      <c r="R46">
        <v>0</v>
      </c>
      <c r="S46">
        <v>22000000</v>
      </c>
      <c r="T46">
        <v>24200000</v>
      </c>
      <c r="U46">
        <v>0</v>
      </c>
      <c r="W46" t="s">
        <v>66</v>
      </c>
      <c r="X4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6">
        <v>10000000</v>
      </c>
      <c r="Z46">
        <v>0</v>
      </c>
      <c r="AA46">
        <v>0</v>
      </c>
      <c r="AB46">
        <v>10000000</v>
      </c>
      <c r="AC46">
        <v>0</v>
      </c>
      <c r="AD46">
        <v>10000000</v>
      </c>
      <c r="AE46">
        <v>11000000</v>
      </c>
      <c r="AF46">
        <v>0</v>
      </c>
      <c r="AH46" t="s">
        <v>63</v>
      </c>
      <c r="AI4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6">
        <v>5000000</v>
      </c>
      <c r="AK46">
        <v>0</v>
      </c>
      <c r="AL46">
        <v>0</v>
      </c>
      <c r="AM46">
        <v>5000000</v>
      </c>
      <c r="AN46">
        <v>0</v>
      </c>
      <c r="AO46">
        <v>5000000</v>
      </c>
      <c r="AP46">
        <v>5500000</v>
      </c>
      <c r="AQ46">
        <v>0</v>
      </c>
    </row>
    <row r="47" spans="1:43" x14ac:dyDescent="0.3">
      <c r="A47" t="s">
        <v>85</v>
      </c>
      <c r="B4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7">
        <v>30000000</v>
      </c>
      <c r="D47">
        <v>0</v>
      </c>
      <c r="E47">
        <v>-18000000</v>
      </c>
      <c r="F47">
        <v>12000000</v>
      </c>
      <c r="G47">
        <v>0</v>
      </c>
      <c r="H47">
        <v>12000000</v>
      </c>
      <c r="I47">
        <v>13200000</v>
      </c>
      <c r="J47">
        <v>0</v>
      </c>
      <c r="L47" t="s">
        <v>15</v>
      </c>
      <c r="M4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7">
        <v>28400000</v>
      </c>
      <c r="O47">
        <v>0</v>
      </c>
      <c r="P47">
        <v>0</v>
      </c>
      <c r="Q47">
        <v>28400000</v>
      </c>
      <c r="R47">
        <v>0</v>
      </c>
      <c r="S47">
        <v>28400000</v>
      </c>
      <c r="T47">
        <v>31240000</v>
      </c>
      <c r="U47">
        <v>0</v>
      </c>
      <c r="W47" t="s">
        <v>237</v>
      </c>
      <c r="X4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7">
        <v>10000000</v>
      </c>
      <c r="Z47">
        <v>-10000000</v>
      </c>
      <c r="AA47">
        <v>0</v>
      </c>
      <c r="AB47">
        <v>0</v>
      </c>
      <c r="AC47">
        <v>10000000</v>
      </c>
      <c r="AD47">
        <v>10000000</v>
      </c>
      <c r="AE47">
        <v>11000000</v>
      </c>
      <c r="AF47">
        <v>3000000</v>
      </c>
      <c r="AH47" t="s">
        <v>302</v>
      </c>
      <c r="AI4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7">
        <v>4800000</v>
      </c>
      <c r="AK47">
        <v>0</v>
      </c>
      <c r="AL47">
        <v>0</v>
      </c>
      <c r="AM47">
        <v>4800000</v>
      </c>
      <c r="AN47">
        <v>0</v>
      </c>
      <c r="AO47">
        <v>4800000</v>
      </c>
      <c r="AP47">
        <v>5280000</v>
      </c>
      <c r="AQ47">
        <v>720000</v>
      </c>
    </row>
    <row r="48" spans="1:43" x14ac:dyDescent="0.3">
      <c r="A48" t="s">
        <v>86</v>
      </c>
      <c r="B4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8">
        <v>30000000</v>
      </c>
      <c r="D48">
        <v>0</v>
      </c>
      <c r="E48">
        <v>-18000000</v>
      </c>
      <c r="F48">
        <v>12000000</v>
      </c>
      <c r="G48">
        <v>0</v>
      </c>
      <c r="H48">
        <v>12000000</v>
      </c>
      <c r="I48">
        <v>13200000</v>
      </c>
      <c r="J48">
        <v>0</v>
      </c>
      <c r="L48" t="s">
        <v>99</v>
      </c>
      <c r="M4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8">
        <v>28000000</v>
      </c>
      <c r="O48">
        <v>0</v>
      </c>
      <c r="P48">
        <v>0</v>
      </c>
      <c r="Q48">
        <v>28000000</v>
      </c>
      <c r="R48">
        <v>0</v>
      </c>
      <c r="S48">
        <v>28000000</v>
      </c>
      <c r="T48">
        <v>30800000</v>
      </c>
      <c r="U48">
        <v>0</v>
      </c>
      <c r="W48" t="s">
        <v>19</v>
      </c>
      <c r="X4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8">
        <v>10000000</v>
      </c>
      <c r="Z48">
        <v>0</v>
      </c>
      <c r="AA48">
        <v>0</v>
      </c>
      <c r="AB48">
        <v>10000000</v>
      </c>
      <c r="AC48">
        <v>0</v>
      </c>
      <c r="AD48">
        <v>10000000</v>
      </c>
      <c r="AE48">
        <v>11000000</v>
      </c>
      <c r="AF48">
        <v>1500000</v>
      </c>
      <c r="AH48" t="s">
        <v>303</v>
      </c>
      <c r="AI4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8">
        <v>4000000</v>
      </c>
      <c r="AK48">
        <v>0</v>
      </c>
      <c r="AL48">
        <v>0</v>
      </c>
      <c r="AM48">
        <v>4000000</v>
      </c>
      <c r="AN48">
        <v>0</v>
      </c>
      <c r="AO48">
        <v>4000000</v>
      </c>
      <c r="AP48">
        <v>4400000</v>
      </c>
      <c r="AQ48">
        <v>600000</v>
      </c>
    </row>
    <row r="49" spans="1:43" x14ac:dyDescent="0.3">
      <c r="A49" t="s">
        <v>87</v>
      </c>
      <c r="B4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49">
        <v>30000000</v>
      </c>
      <c r="D49">
        <v>0</v>
      </c>
      <c r="E49">
        <v>-25360000</v>
      </c>
      <c r="F49">
        <v>4640000</v>
      </c>
      <c r="G49">
        <v>0</v>
      </c>
      <c r="H49">
        <v>4640000</v>
      </c>
      <c r="I49">
        <v>5104000</v>
      </c>
      <c r="J49">
        <v>0</v>
      </c>
      <c r="L49" t="s">
        <v>23</v>
      </c>
      <c r="M4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49">
        <v>27500000</v>
      </c>
      <c r="O49">
        <v>0</v>
      </c>
      <c r="P49">
        <v>0</v>
      </c>
      <c r="Q49">
        <v>27500000</v>
      </c>
      <c r="R49">
        <v>0</v>
      </c>
      <c r="S49">
        <v>27500000</v>
      </c>
      <c r="T49">
        <v>30250000</v>
      </c>
      <c r="U49">
        <v>0</v>
      </c>
      <c r="W49" t="s">
        <v>240</v>
      </c>
      <c r="X4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49">
        <v>9800000</v>
      </c>
      <c r="Z49">
        <v>0</v>
      </c>
      <c r="AA49">
        <v>0</v>
      </c>
      <c r="AB49">
        <v>9800000</v>
      </c>
      <c r="AC49">
        <v>0</v>
      </c>
      <c r="AD49">
        <v>9800000</v>
      </c>
      <c r="AE49">
        <v>10780000</v>
      </c>
      <c r="AF49">
        <v>0</v>
      </c>
      <c r="AH49" t="s">
        <v>239</v>
      </c>
      <c r="AI4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49">
        <v>4000000</v>
      </c>
      <c r="AK49">
        <v>0</v>
      </c>
      <c r="AL49">
        <v>-1400000</v>
      </c>
      <c r="AM49">
        <v>2600000</v>
      </c>
      <c r="AN49">
        <v>0</v>
      </c>
      <c r="AO49">
        <v>2600000</v>
      </c>
      <c r="AP49">
        <v>2860000</v>
      </c>
      <c r="AQ49">
        <v>0</v>
      </c>
    </row>
    <row r="50" spans="1:43" x14ac:dyDescent="0.3">
      <c r="A50" t="s">
        <v>35</v>
      </c>
      <c r="B5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0">
        <v>30000000</v>
      </c>
      <c r="D50">
        <v>0</v>
      </c>
      <c r="E50">
        <v>0</v>
      </c>
      <c r="F50">
        <v>30000000</v>
      </c>
      <c r="G50">
        <v>0</v>
      </c>
      <c r="H50">
        <v>30000000</v>
      </c>
      <c r="I50">
        <v>33000000</v>
      </c>
      <c r="J50">
        <v>0</v>
      </c>
      <c r="L50" t="s">
        <v>106</v>
      </c>
      <c r="M5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0">
        <v>27000000</v>
      </c>
      <c r="O50">
        <v>0</v>
      </c>
      <c r="P50">
        <v>-4660000</v>
      </c>
      <c r="Q50">
        <v>22340000</v>
      </c>
      <c r="R50">
        <v>0</v>
      </c>
      <c r="S50">
        <v>22340000</v>
      </c>
      <c r="T50">
        <v>24574000</v>
      </c>
      <c r="U50">
        <v>0</v>
      </c>
      <c r="W50" t="s">
        <v>242</v>
      </c>
      <c r="X5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0">
        <v>9800000</v>
      </c>
      <c r="Z50">
        <v>0</v>
      </c>
      <c r="AA50">
        <v>0</v>
      </c>
      <c r="AB50">
        <v>9800000</v>
      </c>
      <c r="AC50">
        <v>0</v>
      </c>
      <c r="AD50">
        <v>9800000</v>
      </c>
      <c r="AE50">
        <v>10780000</v>
      </c>
      <c r="AF50">
        <v>0</v>
      </c>
      <c r="AH50" t="s">
        <v>279</v>
      </c>
      <c r="AI5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0">
        <v>3000000</v>
      </c>
      <c r="AK50">
        <v>0</v>
      </c>
      <c r="AL50">
        <v>0</v>
      </c>
      <c r="AM50">
        <v>3000000</v>
      </c>
      <c r="AN50">
        <v>0</v>
      </c>
      <c r="AO50">
        <v>3000000</v>
      </c>
      <c r="AP50">
        <v>3000000</v>
      </c>
      <c r="AQ50">
        <v>450000</v>
      </c>
    </row>
    <row r="51" spans="1:43" x14ac:dyDescent="0.3">
      <c r="A51" t="s">
        <v>89</v>
      </c>
      <c r="B5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1">
        <v>30000000</v>
      </c>
      <c r="D51">
        <v>0</v>
      </c>
      <c r="E51">
        <v>-25360000</v>
      </c>
      <c r="F51">
        <v>4640000</v>
      </c>
      <c r="G51">
        <v>0</v>
      </c>
      <c r="H51">
        <v>4640000</v>
      </c>
      <c r="I51">
        <v>1701333</v>
      </c>
      <c r="J51">
        <v>0</v>
      </c>
      <c r="L51" t="s">
        <v>112</v>
      </c>
      <c r="M5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1">
        <v>25000000</v>
      </c>
      <c r="O51">
        <v>0</v>
      </c>
      <c r="P51">
        <v>-5500000</v>
      </c>
      <c r="Q51">
        <v>19500000</v>
      </c>
      <c r="R51">
        <v>0</v>
      </c>
      <c r="S51">
        <v>19500000</v>
      </c>
      <c r="T51">
        <v>21450000</v>
      </c>
      <c r="U51">
        <v>3750000</v>
      </c>
      <c r="W51" t="s">
        <v>249</v>
      </c>
      <c r="X5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1">
        <v>9000000</v>
      </c>
      <c r="Z51">
        <v>0</v>
      </c>
      <c r="AA51">
        <v>0</v>
      </c>
      <c r="AB51">
        <v>9000000</v>
      </c>
      <c r="AC51">
        <v>0</v>
      </c>
      <c r="AD51">
        <v>9000000</v>
      </c>
      <c r="AE51">
        <v>9900000</v>
      </c>
      <c r="AF51">
        <v>1350000</v>
      </c>
      <c r="AH51" t="s">
        <v>269</v>
      </c>
      <c r="AI5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1">
        <v>3000000</v>
      </c>
      <c r="AK51">
        <v>0</v>
      </c>
      <c r="AL51">
        <v>0</v>
      </c>
      <c r="AM51">
        <v>3000000</v>
      </c>
      <c r="AN51">
        <v>0</v>
      </c>
      <c r="AO51">
        <v>3000000</v>
      </c>
      <c r="AP51">
        <v>3300000</v>
      </c>
      <c r="AQ51">
        <v>450000</v>
      </c>
    </row>
    <row r="52" spans="1:43" x14ac:dyDescent="0.3">
      <c r="A52" t="s">
        <v>77</v>
      </c>
      <c r="B5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2">
        <v>30000000</v>
      </c>
      <c r="D52">
        <v>-6000000</v>
      </c>
      <c r="E52">
        <v>-5250000</v>
      </c>
      <c r="F52">
        <v>18750000</v>
      </c>
      <c r="G52">
        <v>0</v>
      </c>
      <c r="H52">
        <v>18750000</v>
      </c>
      <c r="I52">
        <v>20625000</v>
      </c>
      <c r="J52">
        <v>0</v>
      </c>
      <c r="L52" t="s">
        <v>114</v>
      </c>
      <c r="M5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2">
        <v>25000000</v>
      </c>
      <c r="O52">
        <v>0</v>
      </c>
      <c r="P52">
        <v>-6500000</v>
      </c>
      <c r="Q52">
        <v>18500000</v>
      </c>
      <c r="R52">
        <v>0</v>
      </c>
      <c r="S52">
        <v>18500000</v>
      </c>
      <c r="T52">
        <v>20350000</v>
      </c>
      <c r="U52">
        <v>0</v>
      </c>
      <c r="W52" t="s">
        <v>250</v>
      </c>
      <c r="X5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2">
        <v>9000000</v>
      </c>
      <c r="Z52">
        <v>0</v>
      </c>
      <c r="AA52">
        <v>0</v>
      </c>
      <c r="AB52">
        <v>9000000</v>
      </c>
      <c r="AC52">
        <v>0</v>
      </c>
      <c r="AD52">
        <v>9000000</v>
      </c>
      <c r="AE52">
        <v>9900000</v>
      </c>
      <c r="AF52">
        <v>0</v>
      </c>
      <c r="AH52" t="s">
        <v>316</v>
      </c>
      <c r="AI5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2">
        <v>3000000</v>
      </c>
      <c r="AK52">
        <v>0</v>
      </c>
      <c r="AL52">
        <v>0</v>
      </c>
      <c r="AM52">
        <v>3000000</v>
      </c>
      <c r="AN52">
        <v>0</v>
      </c>
      <c r="AO52">
        <v>3000000</v>
      </c>
      <c r="AP52">
        <v>3300000</v>
      </c>
      <c r="AQ52">
        <v>450000</v>
      </c>
    </row>
    <row r="53" spans="1:43" x14ac:dyDescent="0.3">
      <c r="A53" t="s">
        <v>90</v>
      </c>
      <c r="B5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3">
        <v>30000000</v>
      </c>
      <c r="D53">
        <v>0</v>
      </c>
      <c r="E53">
        <v>0</v>
      </c>
      <c r="F53">
        <v>30000000</v>
      </c>
      <c r="G53">
        <v>0</v>
      </c>
      <c r="H53">
        <v>30000000</v>
      </c>
      <c r="I53">
        <v>33000000</v>
      </c>
      <c r="J53">
        <v>0</v>
      </c>
      <c r="L53" t="s">
        <v>44</v>
      </c>
      <c r="M5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3">
        <v>25000000</v>
      </c>
      <c r="O53">
        <v>0</v>
      </c>
      <c r="P53">
        <v>0</v>
      </c>
      <c r="Q53">
        <v>25000000</v>
      </c>
      <c r="R53">
        <v>0</v>
      </c>
      <c r="S53">
        <v>25000000</v>
      </c>
      <c r="T53">
        <v>27500000</v>
      </c>
      <c r="U53">
        <v>1500000</v>
      </c>
      <c r="W53" t="s">
        <v>251</v>
      </c>
      <c r="X5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3">
        <v>9000000</v>
      </c>
      <c r="Z53">
        <v>0</v>
      </c>
      <c r="AA53">
        <v>0</v>
      </c>
      <c r="AB53">
        <v>9000000</v>
      </c>
      <c r="AC53">
        <v>0</v>
      </c>
      <c r="AD53">
        <v>9000000</v>
      </c>
      <c r="AE53">
        <v>9900000</v>
      </c>
      <c r="AF53">
        <v>0</v>
      </c>
      <c r="AH53" t="s">
        <v>11</v>
      </c>
      <c r="AI5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3">
        <v>3000000</v>
      </c>
      <c r="AK53">
        <v>0</v>
      </c>
      <c r="AL53">
        <v>0</v>
      </c>
      <c r="AM53">
        <v>3000000</v>
      </c>
      <c r="AN53">
        <v>0</v>
      </c>
      <c r="AO53">
        <v>3000000</v>
      </c>
      <c r="AP53">
        <v>3300000</v>
      </c>
      <c r="AQ53">
        <v>0</v>
      </c>
    </row>
    <row r="54" spans="1:43" x14ac:dyDescent="0.3">
      <c r="A54" t="s">
        <v>91</v>
      </c>
      <c r="B5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4">
        <v>30000000</v>
      </c>
      <c r="D54">
        <v>0</v>
      </c>
      <c r="E54">
        <v>0</v>
      </c>
      <c r="F54">
        <v>30000000</v>
      </c>
      <c r="G54">
        <v>0</v>
      </c>
      <c r="H54">
        <v>30000000</v>
      </c>
      <c r="I54">
        <v>33000000</v>
      </c>
      <c r="J54">
        <v>0</v>
      </c>
      <c r="L54" t="s">
        <v>74</v>
      </c>
      <c r="M5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4">
        <v>25000000</v>
      </c>
      <c r="O54">
        <v>0</v>
      </c>
      <c r="P54">
        <v>0</v>
      </c>
      <c r="Q54">
        <v>25000000</v>
      </c>
      <c r="R54">
        <v>0</v>
      </c>
      <c r="S54">
        <v>25000000</v>
      </c>
      <c r="T54">
        <v>27500000</v>
      </c>
      <c r="U54">
        <v>0</v>
      </c>
      <c r="W54" t="s">
        <v>258</v>
      </c>
      <c r="X5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4">
        <v>8000000</v>
      </c>
      <c r="Z54">
        <v>0</v>
      </c>
      <c r="AA54">
        <v>0</v>
      </c>
      <c r="AB54">
        <v>8000000</v>
      </c>
      <c r="AC54">
        <v>0</v>
      </c>
      <c r="AD54">
        <v>8000000</v>
      </c>
      <c r="AE54">
        <v>8800000</v>
      </c>
      <c r="AF54">
        <v>0</v>
      </c>
      <c r="AH54" t="s">
        <v>184</v>
      </c>
      <c r="AI5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4">
        <v>3000000</v>
      </c>
      <c r="AK54">
        <v>0</v>
      </c>
      <c r="AL54">
        <v>0</v>
      </c>
      <c r="AM54">
        <v>3000000</v>
      </c>
      <c r="AN54">
        <v>0</v>
      </c>
      <c r="AO54">
        <v>3000000</v>
      </c>
      <c r="AP54">
        <v>3300000</v>
      </c>
      <c r="AQ54">
        <v>450000</v>
      </c>
    </row>
    <row r="55" spans="1:43" x14ac:dyDescent="0.3">
      <c r="A55" t="s">
        <v>92</v>
      </c>
      <c r="B5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5">
        <v>30000000</v>
      </c>
      <c r="D55">
        <v>0</v>
      </c>
      <c r="E55">
        <v>-25360000</v>
      </c>
      <c r="F55">
        <v>4640000</v>
      </c>
      <c r="G55">
        <v>0</v>
      </c>
      <c r="H55">
        <v>4640000</v>
      </c>
      <c r="I55">
        <v>5104000</v>
      </c>
      <c r="J55">
        <v>1500000</v>
      </c>
      <c r="L55" t="s">
        <v>62</v>
      </c>
      <c r="M5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5">
        <v>25000000</v>
      </c>
      <c r="O55">
        <v>0</v>
      </c>
      <c r="P55">
        <v>-6250000</v>
      </c>
      <c r="Q55">
        <v>18750000</v>
      </c>
      <c r="R55">
        <v>0</v>
      </c>
      <c r="S55">
        <v>18750000</v>
      </c>
      <c r="T55">
        <v>20625000</v>
      </c>
      <c r="U55">
        <v>0</v>
      </c>
      <c r="W55" t="s">
        <v>267</v>
      </c>
      <c r="X5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5">
        <v>7800000</v>
      </c>
      <c r="Z55">
        <v>0</v>
      </c>
      <c r="AA55">
        <v>0</v>
      </c>
      <c r="AB55">
        <v>7800000</v>
      </c>
      <c r="AC55">
        <v>0</v>
      </c>
      <c r="AD55">
        <v>7800000</v>
      </c>
      <c r="AE55">
        <v>8580000</v>
      </c>
      <c r="AF55">
        <v>1200000</v>
      </c>
      <c r="AH55" t="s">
        <v>276</v>
      </c>
      <c r="AI5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5">
        <v>2500000</v>
      </c>
      <c r="AK55">
        <v>0</v>
      </c>
      <c r="AL55">
        <v>0</v>
      </c>
      <c r="AM55">
        <v>2500000</v>
      </c>
      <c r="AN55">
        <v>0</v>
      </c>
      <c r="AO55">
        <v>2500000</v>
      </c>
      <c r="AP55">
        <v>2750000</v>
      </c>
      <c r="AQ55">
        <v>375000</v>
      </c>
    </row>
    <row r="56" spans="1:43" x14ac:dyDescent="0.3">
      <c r="A56" t="s">
        <v>94</v>
      </c>
      <c r="B5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6">
        <v>30000000</v>
      </c>
      <c r="D56">
        <v>0</v>
      </c>
      <c r="E56">
        <v>-25360000</v>
      </c>
      <c r="F56">
        <v>4640000</v>
      </c>
      <c r="G56">
        <v>0</v>
      </c>
      <c r="H56">
        <v>4640000</v>
      </c>
      <c r="I56">
        <v>5104000</v>
      </c>
      <c r="J56">
        <v>0</v>
      </c>
      <c r="L56" t="s">
        <v>55</v>
      </c>
      <c r="M5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6">
        <v>25000000</v>
      </c>
      <c r="O56">
        <v>0</v>
      </c>
      <c r="P56">
        <v>0</v>
      </c>
      <c r="Q56">
        <v>25000000</v>
      </c>
      <c r="R56">
        <v>0</v>
      </c>
      <c r="S56">
        <v>25000000</v>
      </c>
      <c r="T56">
        <v>27500000</v>
      </c>
      <c r="U56">
        <v>0</v>
      </c>
      <c r="W56" t="s">
        <v>241</v>
      </c>
      <c r="X5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6">
        <v>7800000</v>
      </c>
      <c r="Z56">
        <v>0</v>
      </c>
      <c r="AA56">
        <v>0</v>
      </c>
      <c r="AB56">
        <v>7800000</v>
      </c>
      <c r="AC56">
        <v>0</v>
      </c>
      <c r="AD56">
        <v>7800000</v>
      </c>
      <c r="AE56">
        <v>8580000</v>
      </c>
      <c r="AF56">
        <v>0</v>
      </c>
      <c r="AH56" t="s">
        <v>320</v>
      </c>
      <c r="AI5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6">
        <v>2500000</v>
      </c>
      <c r="AK56">
        <v>0</v>
      </c>
      <c r="AL56">
        <v>0</v>
      </c>
      <c r="AM56">
        <v>2500000</v>
      </c>
      <c r="AN56">
        <v>0</v>
      </c>
      <c r="AO56">
        <v>2500000</v>
      </c>
      <c r="AP56">
        <v>2750000</v>
      </c>
      <c r="AQ56">
        <v>0</v>
      </c>
    </row>
    <row r="57" spans="1:43" x14ac:dyDescent="0.3">
      <c r="A57" t="s">
        <v>54</v>
      </c>
      <c r="B5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7">
        <v>29000000</v>
      </c>
      <c r="D57">
        <v>-6100000</v>
      </c>
      <c r="E57">
        <v>-11900000</v>
      </c>
      <c r="F57">
        <v>11000000</v>
      </c>
      <c r="G57">
        <v>0</v>
      </c>
      <c r="H57">
        <v>11000000</v>
      </c>
      <c r="I57">
        <v>12100000</v>
      </c>
      <c r="J57">
        <v>0</v>
      </c>
      <c r="L57" t="s">
        <v>71</v>
      </c>
      <c r="M5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7">
        <v>25000000</v>
      </c>
      <c r="O57">
        <v>0</v>
      </c>
      <c r="P57">
        <v>-10050000</v>
      </c>
      <c r="Q57">
        <v>14950000</v>
      </c>
      <c r="R57">
        <v>0</v>
      </c>
      <c r="S57">
        <v>14950000</v>
      </c>
      <c r="T57">
        <v>16445000</v>
      </c>
      <c r="U57">
        <v>0</v>
      </c>
      <c r="W57" t="s">
        <v>274</v>
      </c>
      <c r="X5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7">
        <v>7000000</v>
      </c>
      <c r="Z57">
        <v>0</v>
      </c>
      <c r="AA57">
        <v>0</v>
      </c>
      <c r="AB57">
        <v>7000000</v>
      </c>
      <c r="AC57">
        <v>0</v>
      </c>
      <c r="AD57">
        <v>7000000</v>
      </c>
      <c r="AE57">
        <v>7700000</v>
      </c>
      <c r="AF57">
        <v>1050000</v>
      </c>
      <c r="AH57" t="s">
        <v>323</v>
      </c>
      <c r="AI5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7">
        <v>2500000</v>
      </c>
      <c r="AK57">
        <v>0</v>
      </c>
      <c r="AL57">
        <v>0</v>
      </c>
      <c r="AM57">
        <v>2500000</v>
      </c>
      <c r="AN57">
        <v>0</v>
      </c>
      <c r="AO57">
        <v>2500000</v>
      </c>
      <c r="AP57">
        <v>2750000</v>
      </c>
      <c r="AQ57">
        <v>0</v>
      </c>
    </row>
    <row r="58" spans="1:43" x14ac:dyDescent="0.3">
      <c r="A58" t="s">
        <v>102</v>
      </c>
      <c r="B5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8">
        <v>27800000</v>
      </c>
      <c r="D58">
        <v>0</v>
      </c>
      <c r="E58">
        <v>-10000000</v>
      </c>
      <c r="F58">
        <v>17800000</v>
      </c>
      <c r="G58">
        <v>0</v>
      </c>
      <c r="H58">
        <v>17800000</v>
      </c>
      <c r="I58">
        <v>19580000</v>
      </c>
      <c r="J58">
        <v>0</v>
      </c>
      <c r="L58" t="s">
        <v>57</v>
      </c>
      <c r="M5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8">
        <v>24000000</v>
      </c>
      <c r="O58">
        <v>0</v>
      </c>
      <c r="P58">
        <v>0</v>
      </c>
      <c r="Q58">
        <v>24000000</v>
      </c>
      <c r="R58">
        <v>0</v>
      </c>
      <c r="S58">
        <v>24000000</v>
      </c>
      <c r="T58">
        <v>26400000</v>
      </c>
      <c r="U58">
        <v>0</v>
      </c>
      <c r="W58" t="s">
        <v>196</v>
      </c>
      <c r="X5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8">
        <v>6000000</v>
      </c>
      <c r="Z58">
        <v>0</v>
      </c>
      <c r="AA58">
        <v>0</v>
      </c>
      <c r="AB58">
        <v>6000000</v>
      </c>
      <c r="AC58">
        <v>0</v>
      </c>
      <c r="AD58">
        <v>6000000</v>
      </c>
      <c r="AE58">
        <v>6000000</v>
      </c>
      <c r="AF58">
        <v>0</v>
      </c>
      <c r="AH58" t="s">
        <v>325</v>
      </c>
      <c r="AI5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8">
        <v>2500000</v>
      </c>
      <c r="AK58">
        <v>0</v>
      </c>
      <c r="AL58">
        <v>0</v>
      </c>
      <c r="AM58">
        <v>2500000</v>
      </c>
      <c r="AN58">
        <v>0</v>
      </c>
      <c r="AO58">
        <v>2500000</v>
      </c>
      <c r="AP58">
        <v>2750000</v>
      </c>
      <c r="AQ58">
        <v>0</v>
      </c>
    </row>
    <row r="59" spans="1:43" x14ac:dyDescent="0.3">
      <c r="A59" t="s">
        <v>103</v>
      </c>
      <c r="B5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59">
        <v>27000000</v>
      </c>
      <c r="D59">
        <v>0</v>
      </c>
      <c r="E59">
        <v>-23360000</v>
      </c>
      <c r="F59">
        <v>3640000</v>
      </c>
      <c r="G59">
        <v>0</v>
      </c>
      <c r="H59">
        <v>3640000</v>
      </c>
      <c r="I59">
        <v>4004000</v>
      </c>
      <c r="J59">
        <v>0</v>
      </c>
      <c r="L59" t="s">
        <v>123</v>
      </c>
      <c r="M5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59">
        <v>24000000</v>
      </c>
      <c r="O59">
        <v>0</v>
      </c>
      <c r="P59">
        <v>0</v>
      </c>
      <c r="Q59">
        <v>24000000</v>
      </c>
      <c r="R59">
        <v>0</v>
      </c>
      <c r="S59">
        <v>24000000</v>
      </c>
      <c r="T59">
        <v>26400000</v>
      </c>
      <c r="U59">
        <v>3600000</v>
      </c>
      <c r="W59" t="s">
        <v>285</v>
      </c>
      <c r="X5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59">
        <v>6000000</v>
      </c>
      <c r="Z59">
        <v>0</v>
      </c>
      <c r="AA59">
        <v>0</v>
      </c>
      <c r="AB59">
        <v>6000000</v>
      </c>
      <c r="AC59">
        <v>0</v>
      </c>
      <c r="AD59">
        <v>6000000</v>
      </c>
      <c r="AE59">
        <v>6600000</v>
      </c>
      <c r="AF59">
        <v>0</v>
      </c>
      <c r="AH59" t="s">
        <v>173</v>
      </c>
      <c r="AI5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59">
        <v>2000000</v>
      </c>
      <c r="AK59">
        <v>0</v>
      </c>
      <c r="AL59">
        <v>0</v>
      </c>
      <c r="AM59">
        <v>2000000</v>
      </c>
      <c r="AN59">
        <v>0</v>
      </c>
      <c r="AO59">
        <v>2000000</v>
      </c>
      <c r="AP59">
        <v>2200000</v>
      </c>
      <c r="AQ59">
        <v>0</v>
      </c>
    </row>
    <row r="60" spans="1:43" x14ac:dyDescent="0.3">
      <c r="A60" t="s">
        <v>104</v>
      </c>
      <c r="B6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0">
        <v>27000000</v>
      </c>
      <c r="D60">
        <v>0</v>
      </c>
      <c r="E60">
        <v>-2200000</v>
      </c>
      <c r="F60">
        <v>24800000</v>
      </c>
      <c r="G60">
        <v>0</v>
      </c>
      <c r="H60">
        <v>24800000</v>
      </c>
      <c r="I60">
        <v>27280000</v>
      </c>
      <c r="J60">
        <v>0</v>
      </c>
      <c r="L60" t="s">
        <v>58</v>
      </c>
      <c r="M6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0">
        <v>24000000</v>
      </c>
      <c r="O60">
        <v>0</v>
      </c>
      <c r="P60">
        <v>0</v>
      </c>
      <c r="Q60">
        <v>24000000</v>
      </c>
      <c r="R60">
        <v>0</v>
      </c>
      <c r="S60">
        <v>24000000</v>
      </c>
      <c r="T60">
        <v>26400000</v>
      </c>
      <c r="U60">
        <v>0</v>
      </c>
      <c r="W60" t="s">
        <v>288</v>
      </c>
      <c r="X6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0">
        <v>6000000</v>
      </c>
      <c r="Z60">
        <v>0</v>
      </c>
      <c r="AA60">
        <v>0</v>
      </c>
      <c r="AB60">
        <v>6000000</v>
      </c>
      <c r="AC60">
        <v>0</v>
      </c>
      <c r="AD60">
        <v>6000000</v>
      </c>
      <c r="AE60">
        <v>6600000</v>
      </c>
      <c r="AF60">
        <v>600000</v>
      </c>
      <c r="AH60" t="s">
        <v>241</v>
      </c>
      <c r="AI6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0">
        <v>2000000</v>
      </c>
      <c r="AK60">
        <v>0</v>
      </c>
      <c r="AL60">
        <v>0</v>
      </c>
      <c r="AM60">
        <v>2000000</v>
      </c>
      <c r="AN60">
        <v>0</v>
      </c>
      <c r="AO60">
        <v>2000000</v>
      </c>
      <c r="AP60">
        <v>2200000</v>
      </c>
      <c r="AQ60">
        <v>0</v>
      </c>
    </row>
    <row r="61" spans="1:43" x14ac:dyDescent="0.3">
      <c r="A61" t="s">
        <v>105</v>
      </c>
      <c r="B6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1">
        <v>27000000</v>
      </c>
      <c r="D61">
        <v>0</v>
      </c>
      <c r="E61">
        <v>-9500000</v>
      </c>
      <c r="F61">
        <v>17500000</v>
      </c>
      <c r="G61">
        <v>0</v>
      </c>
      <c r="H61">
        <v>17500000</v>
      </c>
      <c r="I61">
        <v>19250000</v>
      </c>
      <c r="J61">
        <v>0</v>
      </c>
      <c r="L61" t="s">
        <v>125</v>
      </c>
      <c r="M6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1">
        <v>23818182</v>
      </c>
      <c r="O61">
        <v>0</v>
      </c>
      <c r="P61">
        <v>-3818182</v>
      </c>
      <c r="Q61">
        <v>20000000</v>
      </c>
      <c r="R61">
        <v>0</v>
      </c>
      <c r="S61">
        <v>20000000</v>
      </c>
      <c r="T61">
        <v>22000000</v>
      </c>
      <c r="U61">
        <v>0</v>
      </c>
      <c r="W61" t="s">
        <v>289</v>
      </c>
      <c r="X6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1">
        <v>5600000</v>
      </c>
      <c r="Z61">
        <v>0</v>
      </c>
      <c r="AA61">
        <v>0</v>
      </c>
      <c r="AB61">
        <v>5600000</v>
      </c>
      <c r="AC61">
        <v>0</v>
      </c>
      <c r="AD61">
        <v>5600000</v>
      </c>
      <c r="AE61">
        <v>6160000</v>
      </c>
      <c r="AF61">
        <v>0</v>
      </c>
      <c r="AH61" t="s">
        <v>312</v>
      </c>
      <c r="AI6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1">
        <v>2000000</v>
      </c>
      <c r="AK61">
        <v>0</v>
      </c>
      <c r="AL61">
        <v>0</v>
      </c>
      <c r="AM61">
        <v>2000000</v>
      </c>
      <c r="AN61">
        <v>0</v>
      </c>
      <c r="AO61">
        <v>2000000</v>
      </c>
      <c r="AP61">
        <v>2200000</v>
      </c>
      <c r="AQ61">
        <v>0</v>
      </c>
    </row>
    <row r="62" spans="1:43" x14ac:dyDescent="0.3">
      <c r="A62" t="s">
        <v>107</v>
      </c>
      <c r="B6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2">
        <v>27000000</v>
      </c>
      <c r="D62">
        <v>0</v>
      </c>
      <c r="E62">
        <v>-3000000</v>
      </c>
      <c r="F62">
        <v>24000000</v>
      </c>
      <c r="G62">
        <v>0</v>
      </c>
      <c r="H62">
        <v>24000000</v>
      </c>
      <c r="I62">
        <v>26400000</v>
      </c>
      <c r="J62">
        <v>0</v>
      </c>
      <c r="L62" t="s">
        <v>54</v>
      </c>
      <c r="M6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2">
        <v>23000000</v>
      </c>
      <c r="O62">
        <v>0</v>
      </c>
      <c r="P62">
        <v>-2000000</v>
      </c>
      <c r="Q62">
        <v>21000000</v>
      </c>
      <c r="R62">
        <v>14000000</v>
      </c>
      <c r="S62">
        <v>35000000</v>
      </c>
      <c r="T62">
        <v>38500000</v>
      </c>
      <c r="U62">
        <v>0</v>
      </c>
      <c r="W62" t="s">
        <v>72</v>
      </c>
      <c r="X6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2">
        <v>5550000</v>
      </c>
      <c r="Z62">
        <v>0</v>
      </c>
      <c r="AA62">
        <v>0</v>
      </c>
      <c r="AB62">
        <v>5550000</v>
      </c>
      <c r="AC62">
        <v>0</v>
      </c>
      <c r="AD62">
        <v>5550000</v>
      </c>
      <c r="AE62">
        <v>6105000</v>
      </c>
      <c r="AF62">
        <v>450000</v>
      </c>
      <c r="AH62" t="s">
        <v>332</v>
      </c>
      <c r="AI6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2">
        <v>1970000</v>
      </c>
      <c r="AK62">
        <v>0</v>
      </c>
      <c r="AL62">
        <v>0</v>
      </c>
      <c r="AM62">
        <v>1970000</v>
      </c>
      <c r="AN62">
        <v>0</v>
      </c>
      <c r="AO62">
        <v>1970000</v>
      </c>
      <c r="AP62">
        <v>2167000</v>
      </c>
      <c r="AQ62">
        <v>270000</v>
      </c>
    </row>
    <row r="63" spans="1:43" x14ac:dyDescent="0.3">
      <c r="A63" t="s">
        <v>55</v>
      </c>
      <c r="B6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3">
        <v>26500000</v>
      </c>
      <c r="D63">
        <v>0</v>
      </c>
      <c r="E63">
        <v>-6000000</v>
      </c>
      <c r="F63">
        <v>20500000</v>
      </c>
      <c r="G63">
        <v>0</v>
      </c>
      <c r="H63">
        <v>20500000</v>
      </c>
      <c r="I63">
        <v>22550000</v>
      </c>
      <c r="J63">
        <v>0</v>
      </c>
      <c r="L63" t="s">
        <v>129</v>
      </c>
      <c r="M6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3">
        <v>22000000</v>
      </c>
      <c r="O63">
        <v>0</v>
      </c>
      <c r="P63">
        <v>-6250000</v>
      </c>
      <c r="Q63">
        <v>15750000</v>
      </c>
      <c r="R63">
        <v>0</v>
      </c>
      <c r="S63">
        <v>15750000</v>
      </c>
      <c r="T63">
        <v>17325000</v>
      </c>
      <c r="U63">
        <v>0</v>
      </c>
      <c r="W63" t="s">
        <v>292</v>
      </c>
      <c r="X6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3">
        <v>5400000</v>
      </c>
      <c r="Z63">
        <v>0</v>
      </c>
      <c r="AA63">
        <v>0</v>
      </c>
      <c r="AB63">
        <v>5400000</v>
      </c>
      <c r="AC63">
        <v>0</v>
      </c>
      <c r="AD63">
        <v>5400000</v>
      </c>
      <c r="AE63">
        <v>5940000</v>
      </c>
      <c r="AF63">
        <v>0</v>
      </c>
      <c r="AH63" t="s">
        <v>333</v>
      </c>
      <c r="AI6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3">
        <v>1700000</v>
      </c>
      <c r="AK63">
        <v>0</v>
      </c>
      <c r="AL63">
        <v>0</v>
      </c>
      <c r="AM63">
        <v>1700000</v>
      </c>
      <c r="AN63">
        <v>0</v>
      </c>
      <c r="AO63">
        <v>1700000</v>
      </c>
      <c r="AP63">
        <v>1870000</v>
      </c>
      <c r="AQ63">
        <v>255000</v>
      </c>
    </row>
    <row r="64" spans="1:43" x14ac:dyDescent="0.3">
      <c r="A64" t="s">
        <v>51</v>
      </c>
      <c r="B6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4">
        <v>26000000</v>
      </c>
      <c r="D64">
        <v>0</v>
      </c>
      <c r="E64">
        <v>-1900000</v>
      </c>
      <c r="F64">
        <v>24100000</v>
      </c>
      <c r="G64">
        <v>0</v>
      </c>
      <c r="H64">
        <v>24100000</v>
      </c>
      <c r="I64">
        <v>26510000</v>
      </c>
      <c r="J64">
        <v>0</v>
      </c>
      <c r="L64" t="s">
        <v>131</v>
      </c>
      <c r="M64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에르메스</v>
      </c>
      <c r="N64">
        <v>22000000</v>
      </c>
      <c r="O64">
        <v>0</v>
      </c>
      <c r="P64">
        <v>0</v>
      </c>
      <c r="Q64">
        <v>22000000</v>
      </c>
      <c r="R64">
        <v>0</v>
      </c>
      <c r="S64">
        <v>22000000</v>
      </c>
      <c r="T64">
        <v>24200000</v>
      </c>
      <c r="U64">
        <v>0</v>
      </c>
      <c r="W64" t="s">
        <v>12</v>
      </c>
      <c r="X6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4">
        <v>5000000</v>
      </c>
      <c r="Z64">
        <v>0</v>
      </c>
      <c r="AA64">
        <v>-5000000</v>
      </c>
      <c r="AB64">
        <v>0</v>
      </c>
      <c r="AC64">
        <v>0</v>
      </c>
      <c r="AD64">
        <v>0</v>
      </c>
      <c r="AE64">
        <v>0</v>
      </c>
      <c r="AF64">
        <v>0</v>
      </c>
      <c r="AH64" t="s">
        <v>335</v>
      </c>
      <c r="AI6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4">
        <v>1000000</v>
      </c>
      <c r="AK64">
        <v>0</v>
      </c>
      <c r="AL64">
        <v>0</v>
      </c>
      <c r="AM64">
        <v>1000000</v>
      </c>
      <c r="AN64">
        <v>0</v>
      </c>
      <c r="AO64">
        <v>1000000</v>
      </c>
      <c r="AP64">
        <v>1100000</v>
      </c>
      <c r="AQ64">
        <v>0</v>
      </c>
    </row>
    <row r="65" spans="1:43" x14ac:dyDescent="0.3">
      <c r="A65" t="s">
        <v>41</v>
      </c>
      <c r="B6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5">
        <v>26000000</v>
      </c>
      <c r="D65">
        <v>-20000000</v>
      </c>
      <c r="E65">
        <v>0</v>
      </c>
      <c r="F65">
        <v>6000000</v>
      </c>
      <c r="G65">
        <v>20000000</v>
      </c>
      <c r="H65">
        <v>26000000</v>
      </c>
      <c r="I65">
        <v>28600000</v>
      </c>
      <c r="J65">
        <v>3000000</v>
      </c>
      <c r="L65" t="s">
        <v>67</v>
      </c>
      <c r="M6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5">
        <v>20900000</v>
      </c>
      <c r="O65">
        <v>0</v>
      </c>
      <c r="P65">
        <v>-2400000</v>
      </c>
      <c r="Q65">
        <v>18500000</v>
      </c>
      <c r="R65">
        <v>0</v>
      </c>
      <c r="S65">
        <v>18500000</v>
      </c>
      <c r="T65">
        <v>20350000</v>
      </c>
      <c r="U65">
        <v>0</v>
      </c>
      <c r="W65" t="s">
        <v>297</v>
      </c>
      <c r="X6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5">
        <v>5000000</v>
      </c>
      <c r="Z65">
        <v>0</v>
      </c>
      <c r="AA65">
        <v>0</v>
      </c>
      <c r="AB65">
        <v>5000000</v>
      </c>
      <c r="AC65">
        <v>0</v>
      </c>
      <c r="AD65">
        <v>5000000</v>
      </c>
      <c r="AE65">
        <v>5500000</v>
      </c>
      <c r="AF65">
        <v>0</v>
      </c>
      <c r="AH65" t="s">
        <v>344</v>
      </c>
      <c r="AI6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</row>
    <row r="66" spans="1:43" x14ac:dyDescent="0.3">
      <c r="A66" t="s">
        <v>46</v>
      </c>
      <c r="B6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6">
        <v>25300000</v>
      </c>
      <c r="D66">
        <v>0</v>
      </c>
      <c r="E66">
        <v>-6000000</v>
      </c>
      <c r="F66">
        <v>19300000</v>
      </c>
      <c r="G66">
        <v>0</v>
      </c>
      <c r="H66">
        <v>19300000</v>
      </c>
      <c r="I66">
        <v>21230000</v>
      </c>
      <c r="J66">
        <v>1500000</v>
      </c>
      <c r="L66" t="s">
        <v>136</v>
      </c>
      <c r="M6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6">
        <v>20000000</v>
      </c>
      <c r="O66">
        <v>0</v>
      </c>
      <c r="P66">
        <v>-5000000</v>
      </c>
      <c r="Q66">
        <v>15000000</v>
      </c>
      <c r="R66">
        <v>0</v>
      </c>
      <c r="S66">
        <v>15000000</v>
      </c>
      <c r="T66">
        <v>16500000</v>
      </c>
      <c r="U66">
        <v>0</v>
      </c>
      <c r="W66" t="s">
        <v>203</v>
      </c>
      <c r="X6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6">
        <v>5000000</v>
      </c>
      <c r="Z66">
        <v>0</v>
      </c>
      <c r="AA66">
        <v>0</v>
      </c>
      <c r="AB66">
        <v>5000000</v>
      </c>
      <c r="AC66">
        <v>0</v>
      </c>
      <c r="AD66">
        <v>5000000</v>
      </c>
      <c r="AE66">
        <v>5500000</v>
      </c>
      <c r="AF66">
        <v>750000</v>
      </c>
      <c r="AH66" t="s">
        <v>347</v>
      </c>
      <c r="AI6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</row>
    <row r="67" spans="1:43" x14ac:dyDescent="0.3">
      <c r="A67" t="s">
        <v>50</v>
      </c>
      <c r="B6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7">
        <v>25000000</v>
      </c>
      <c r="D67">
        <v>0</v>
      </c>
      <c r="E67">
        <v>-9000000</v>
      </c>
      <c r="F67">
        <v>16000000</v>
      </c>
      <c r="G67">
        <v>0</v>
      </c>
      <c r="H67">
        <v>16000000</v>
      </c>
      <c r="I67">
        <v>17600000</v>
      </c>
      <c r="J67">
        <v>3750000</v>
      </c>
      <c r="L67" t="s">
        <v>138</v>
      </c>
      <c r="M6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7">
        <v>20000000</v>
      </c>
      <c r="O67">
        <v>0</v>
      </c>
      <c r="P67">
        <v>-3800000</v>
      </c>
      <c r="Q67">
        <v>16200000</v>
      </c>
      <c r="R67">
        <v>0</v>
      </c>
      <c r="S67">
        <v>16200000</v>
      </c>
      <c r="T67">
        <v>17820000</v>
      </c>
      <c r="U67">
        <v>3000000</v>
      </c>
      <c r="W67" t="s">
        <v>128</v>
      </c>
      <c r="X6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7">
        <v>4470000</v>
      </c>
      <c r="Z67">
        <v>0</v>
      </c>
      <c r="AA67">
        <v>0</v>
      </c>
      <c r="AB67">
        <v>4470000</v>
      </c>
      <c r="AC67">
        <v>0</v>
      </c>
      <c r="AD67">
        <v>4470000</v>
      </c>
      <c r="AE67">
        <v>4917000</v>
      </c>
      <c r="AF67">
        <v>0</v>
      </c>
      <c r="AH67" t="s">
        <v>110</v>
      </c>
      <c r="AI6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</row>
    <row r="68" spans="1:43" x14ac:dyDescent="0.3">
      <c r="A68" t="s">
        <v>115</v>
      </c>
      <c r="B6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8">
        <v>25000000</v>
      </c>
      <c r="D68">
        <v>0</v>
      </c>
      <c r="E68">
        <v>-12050000</v>
      </c>
      <c r="F68">
        <v>12950000</v>
      </c>
      <c r="G68">
        <v>0</v>
      </c>
      <c r="H68">
        <v>12950000</v>
      </c>
      <c r="I68">
        <v>14245000</v>
      </c>
      <c r="J68">
        <v>0</v>
      </c>
      <c r="L68" t="s">
        <v>97</v>
      </c>
      <c r="M6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68">
        <v>20000000</v>
      </c>
      <c r="O68">
        <v>0</v>
      </c>
      <c r="P68">
        <v>0</v>
      </c>
      <c r="Q68">
        <v>20000000</v>
      </c>
      <c r="R68">
        <v>0</v>
      </c>
      <c r="S68">
        <v>20000000</v>
      </c>
      <c r="T68">
        <v>22000000</v>
      </c>
      <c r="U68">
        <v>0</v>
      </c>
      <c r="W68" t="s">
        <v>276</v>
      </c>
      <c r="X6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8">
        <v>4400000</v>
      </c>
      <c r="Z68">
        <v>0</v>
      </c>
      <c r="AA68">
        <v>0</v>
      </c>
      <c r="AB68">
        <v>4400000</v>
      </c>
      <c r="AC68">
        <v>0</v>
      </c>
      <c r="AD68">
        <v>4400000</v>
      </c>
      <c r="AE68">
        <v>4840000</v>
      </c>
      <c r="AF68">
        <v>660000</v>
      </c>
      <c r="AH68" t="s">
        <v>354</v>
      </c>
      <c r="AI6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</row>
    <row r="69" spans="1:43" x14ac:dyDescent="0.3">
      <c r="A69" t="s">
        <v>118</v>
      </c>
      <c r="B6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69">
        <v>25000000</v>
      </c>
      <c r="D69">
        <v>0</v>
      </c>
      <c r="E69">
        <v>-3450000</v>
      </c>
      <c r="F69">
        <v>21550000</v>
      </c>
      <c r="G69">
        <v>0</v>
      </c>
      <c r="H69">
        <v>21550000</v>
      </c>
      <c r="I69">
        <v>23705000</v>
      </c>
      <c r="J69">
        <v>0</v>
      </c>
      <c r="L69" t="s">
        <v>116</v>
      </c>
      <c r="M69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샤넬</v>
      </c>
      <c r="N69">
        <v>20000000</v>
      </c>
      <c r="O69">
        <v>0</v>
      </c>
      <c r="P69">
        <v>0</v>
      </c>
      <c r="Q69">
        <v>20000000</v>
      </c>
      <c r="R69">
        <v>0</v>
      </c>
      <c r="S69">
        <v>20000000</v>
      </c>
      <c r="T69">
        <v>22000000</v>
      </c>
      <c r="U69">
        <v>0</v>
      </c>
      <c r="W69" t="s">
        <v>269</v>
      </c>
      <c r="X6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69">
        <v>4000000</v>
      </c>
      <c r="Z69">
        <v>0</v>
      </c>
      <c r="AA69">
        <v>0</v>
      </c>
      <c r="AB69">
        <v>4000000</v>
      </c>
      <c r="AC69">
        <v>0</v>
      </c>
      <c r="AD69">
        <v>4000000</v>
      </c>
      <c r="AE69">
        <v>4400000</v>
      </c>
      <c r="AF69">
        <v>0</v>
      </c>
      <c r="AH69" t="s">
        <v>3</v>
      </c>
      <c r="AI69" t="str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디올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</row>
    <row r="70" spans="1:43" x14ac:dyDescent="0.3">
      <c r="A70" t="s">
        <v>119</v>
      </c>
      <c r="B7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0">
        <v>25000000</v>
      </c>
      <c r="D70">
        <v>0</v>
      </c>
      <c r="E70">
        <v>-12050000</v>
      </c>
      <c r="F70">
        <v>12950000</v>
      </c>
      <c r="G70">
        <v>0</v>
      </c>
      <c r="H70">
        <v>12950000</v>
      </c>
      <c r="I70">
        <v>14245000</v>
      </c>
      <c r="J70">
        <v>0</v>
      </c>
      <c r="L70" t="s">
        <v>39</v>
      </c>
      <c r="M7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0">
        <v>20000000</v>
      </c>
      <c r="O70">
        <v>0</v>
      </c>
      <c r="P70">
        <v>-3800000</v>
      </c>
      <c r="Q70">
        <v>16200000</v>
      </c>
      <c r="R70">
        <v>0</v>
      </c>
      <c r="S70">
        <v>16200000</v>
      </c>
      <c r="T70">
        <v>17820000</v>
      </c>
      <c r="U70">
        <v>0</v>
      </c>
      <c r="W70" t="s">
        <v>279</v>
      </c>
      <c r="X7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0">
        <v>3000000</v>
      </c>
      <c r="Z70">
        <v>0</v>
      </c>
      <c r="AA70">
        <v>0</v>
      </c>
      <c r="AB70">
        <v>3000000</v>
      </c>
      <c r="AC70">
        <v>0</v>
      </c>
      <c r="AD70">
        <v>3000000</v>
      </c>
      <c r="AE70">
        <v>3000000</v>
      </c>
      <c r="AF70">
        <v>409091</v>
      </c>
      <c r="AH70" t="s">
        <v>369</v>
      </c>
      <c r="AI7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</row>
    <row r="71" spans="1:43" x14ac:dyDescent="0.3">
      <c r="A71" t="s">
        <v>120</v>
      </c>
      <c r="B7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1">
        <v>25000000</v>
      </c>
      <c r="D71">
        <v>0</v>
      </c>
      <c r="E71">
        <v>0</v>
      </c>
      <c r="F71">
        <v>25000000</v>
      </c>
      <c r="G71">
        <v>0</v>
      </c>
      <c r="H71">
        <v>25000000</v>
      </c>
      <c r="I71">
        <v>27500000</v>
      </c>
      <c r="J71">
        <v>0</v>
      </c>
      <c r="L71" t="s">
        <v>142</v>
      </c>
      <c r="M7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1">
        <v>20000000</v>
      </c>
      <c r="O71">
        <v>0</v>
      </c>
      <c r="P71">
        <v>0</v>
      </c>
      <c r="Q71">
        <v>20000000</v>
      </c>
      <c r="R71">
        <v>0</v>
      </c>
      <c r="S71">
        <v>20000000</v>
      </c>
      <c r="T71">
        <v>22000000</v>
      </c>
      <c r="U71">
        <v>0</v>
      </c>
      <c r="W71" t="s">
        <v>166</v>
      </c>
      <c r="X7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1">
        <v>3000000</v>
      </c>
      <c r="Z71">
        <v>0</v>
      </c>
      <c r="AA71">
        <v>0</v>
      </c>
      <c r="AB71">
        <v>3000000</v>
      </c>
      <c r="AC71">
        <v>0</v>
      </c>
      <c r="AD71">
        <v>3000000</v>
      </c>
      <c r="AE71">
        <v>3300000</v>
      </c>
      <c r="AF71">
        <v>450000</v>
      </c>
      <c r="AH71" t="s">
        <v>30</v>
      </c>
      <c r="AI7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</row>
    <row r="72" spans="1:43" x14ac:dyDescent="0.3">
      <c r="A72" t="s">
        <v>57</v>
      </c>
      <c r="B7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2">
        <v>24000000</v>
      </c>
      <c r="D72">
        <v>0</v>
      </c>
      <c r="E72">
        <v>0</v>
      </c>
      <c r="F72">
        <v>24000000</v>
      </c>
      <c r="G72">
        <v>0</v>
      </c>
      <c r="H72">
        <v>24000000</v>
      </c>
      <c r="I72">
        <v>26400000</v>
      </c>
      <c r="J72">
        <v>0</v>
      </c>
      <c r="L72" t="s">
        <v>70</v>
      </c>
      <c r="M7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2">
        <v>20000000</v>
      </c>
      <c r="O72">
        <v>0</v>
      </c>
      <c r="P72">
        <v>-3800000</v>
      </c>
      <c r="Q72">
        <v>16200000</v>
      </c>
      <c r="R72">
        <v>0</v>
      </c>
      <c r="S72">
        <v>16200000</v>
      </c>
      <c r="T72">
        <v>17820000</v>
      </c>
      <c r="U72">
        <v>4000000</v>
      </c>
      <c r="W72" t="s">
        <v>318</v>
      </c>
      <c r="X7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2">
        <v>3000000</v>
      </c>
      <c r="Z72">
        <v>0</v>
      </c>
      <c r="AA72">
        <v>0</v>
      </c>
      <c r="AB72">
        <v>3000000</v>
      </c>
      <c r="AC72">
        <v>0</v>
      </c>
      <c r="AD72">
        <v>3000000</v>
      </c>
      <c r="AE72">
        <v>3300000</v>
      </c>
      <c r="AF72">
        <v>0</v>
      </c>
      <c r="AH72" t="s">
        <v>377</v>
      </c>
      <c r="AI7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</row>
    <row r="73" spans="1:43" x14ac:dyDescent="0.3">
      <c r="A73" t="s">
        <v>58</v>
      </c>
      <c r="B7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3">
        <v>24000000</v>
      </c>
      <c r="D73">
        <v>0</v>
      </c>
      <c r="E73">
        <v>0</v>
      </c>
      <c r="F73">
        <v>24000000</v>
      </c>
      <c r="G73">
        <v>0</v>
      </c>
      <c r="H73">
        <v>24000000</v>
      </c>
      <c r="I73">
        <v>26400000</v>
      </c>
      <c r="J73">
        <v>0</v>
      </c>
      <c r="L73" t="s">
        <v>145</v>
      </c>
      <c r="M7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3">
        <v>20000000</v>
      </c>
      <c r="O73">
        <v>0</v>
      </c>
      <c r="P73">
        <v>-7000000</v>
      </c>
      <c r="Q73">
        <v>13000000</v>
      </c>
      <c r="R73">
        <v>0</v>
      </c>
      <c r="S73">
        <v>13000000</v>
      </c>
      <c r="T73">
        <v>14300000</v>
      </c>
      <c r="U73">
        <v>4200000</v>
      </c>
      <c r="W73" t="s">
        <v>319</v>
      </c>
      <c r="X7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3">
        <v>3000000</v>
      </c>
      <c r="Z73">
        <v>0</v>
      </c>
      <c r="AA73">
        <v>0</v>
      </c>
      <c r="AB73">
        <v>3000000</v>
      </c>
      <c r="AC73">
        <v>0</v>
      </c>
      <c r="AD73">
        <v>3000000</v>
      </c>
      <c r="AE73">
        <v>3300000</v>
      </c>
      <c r="AF73">
        <v>450000</v>
      </c>
      <c r="AH73" t="s">
        <v>74</v>
      </c>
      <c r="AI7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</row>
    <row r="74" spans="1:43" x14ac:dyDescent="0.3">
      <c r="A74" t="s">
        <v>25</v>
      </c>
      <c r="B7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4">
        <v>23000000</v>
      </c>
      <c r="D74">
        <v>0</v>
      </c>
      <c r="E74">
        <v>-5000000</v>
      </c>
      <c r="F74">
        <v>18000000</v>
      </c>
      <c r="G74">
        <v>80000000</v>
      </c>
      <c r="H74">
        <v>98000000</v>
      </c>
      <c r="I74">
        <v>107800000</v>
      </c>
      <c r="J74">
        <v>0</v>
      </c>
      <c r="L74" t="s">
        <v>147</v>
      </c>
      <c r="M7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4">
        <v>20000000</v>
      </c>
      <c r="O74">
        <v>0</v>
      </c>
      <c r="P74">
        <v>-5000000</v>
      </c>
      <c r="Q74">
        <v>15000000</v>
      </c>
      <c r="R74">
        <v>0</v>
      </c>
      <c r="S74">
        <v>15000000</v>
      </c>
      <c r="T74">
        <v>16500000</v>
      </c>
      <c r="U74">
        <v>3000000</v>
      </c>
      <c r="W74" t="s">
        <v>324</v>
      </c>
      <c r="X7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4">
        <v>2500000</v>
      </c>
      <c r="Z74">
        <v>0</v>
      </c>
      <c r="AA74">
        <v>0</v>
      </c>
      <c r="AB74">
        <v>2500000</v>
      </c>
      <c r="AC74">
        <v>0</v>
      </c>
      <c r="AD74">
        <v>2500000</v>
      </c>
      <c r="AE74">
        <v>2750000</v>
      </c>
      <c r="AF74">
        <v>375000</v>
      </c>
      <c r="AH74" t="s">
        <v>384</v>
      </c>
      <c r="AI7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</row>
    <row r="75" spans="1:43" x14ac:dyDescent="0.3">
      <c r="A75" t="s">
        <v>67</v>
      </c>
      <c r="B7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5">
        <v>20900000</v>
      </c>
      <c r="D75">
        <v>0</v>
      </c>
      <c r="E75">
        <v>-2400000</v>
      </c>
      <c r="F75">
        <v>18500000</v>
      </c>
      <c r="G75">
        <v>0</v>
      </c>
      <c r="H75">
        <v>18500000</v>
      </c>
      <c r="I75">
        <v>20350000</v>
      </c>
      <c r="J75">
        <v>0</v>
      </c>
      <c r="L75" t="s">
        <v>148</v>
      </c>
      <c r="M7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5">
        <v>20000000</v>
      </c>
      <c r="O75">
        <v>0</v>
      </c>
      <c r="P75">
        <v>0</v>
      </c>
      <c r="Q75">
        <v>20000000</v>
      </c>
      <c r="R75">
        <v>0</v>
      </c>
      <c r="S75">
        <v>20000000</v>
      </c>
      <c r="T75">
        <v>22000000</v>
      </c>
      <c r="U75">
        <v>0</v>
      </c>
      <c r="W75" t="s">
        <v>326</v>
      </c>
      <c r="X7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5">
        <v>2350000</v>
      </c>
      <c r="Z75">
        <v>-2350000</v>
      </c>
      <c r="AA75">
        <v>0</v>
      </c>
      <c r="AB75">
        <v>0</v>
      </c>
      <c r="AC75">
        <v>2350000</v>
      </c>
      <c r="AD75">
        <v>2350000</v>
      </c>
      <c r="AE75">
        <v>2585000</v>
      </c>
      <c r="AF75">
        <v>0</v>
      </c>
      <c r="AH75" t="s">
        <v>385</v>
      </c>
      <c r="AI7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</row>
    <row r="76" spans="1:43" x14ac:dyDescent="0.3">
      <c r="A76" t="s">
        <v>133</v>
      </c>
      <c r="B7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6">
        <v>20000000</v>
      </c>
      <c r="D76">
        <v>0</v>
      </c>
      <c r="E76">
        <v>0</v>
      </c>
      <c r="F76">
        <v>20000000</v>
      </c>
      <c r="G76">
        <v>0</v>
      </c>
      <c r="H76">
        <v>20000000</v>
      </c>
      <c r="I76">
        <v>22000000</v>
      </c>
      <c r="J76">
        <v>3000000</v>
      </c>
      <c r="L76" t="s">
        <v>79</v>
      </c>
      <c r="M7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6">
        <v>20000000</v>
      </c>
      <c r="O76">
        <v>-5000000</v>
      </c>
      <c r="P76">
        <v>0</v>
      </c>
      <c r="Q76">
        <v>15000000</v>
      </c>
      <c r="R76">
        <v>5000000</v>
      </c>
      <c r="S76">
        <v>20000000</v>
      </c>
      <c r="T76">
        <v>22000000</v>
      </c>
      <c r="U76">
        <v>750000</v>
      </c>
      <c r="W76" t="s">
        <v>127</v>
      </c>
      <c r="X7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6">
        <v>2000000</v>
      </c>
      <c r="Z76">
        <v>0</v>
      </c>
      <c r="AA76">
        <v>0</v>
      </c>
      <c r="AB76">
        <v>2000000</v>
      </c>
      <c r="AC76">
        <v>0</v>
      </c>
      <c r="AD76">
        <v>2000000</v>
      </c>
      <c r="AE76">
        <v>2200000</v>
      </c>
      <c r="AF76">
        <v>300000</v>
      </c>
      <c r="AH76" t="s">
        <v>387</v>
      </c>
      <c r="AI7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</row>
    <row r="77" spans="1:43" x14ac:dyDescent="0.3">
      <c r="A77" t="s">
        <v>135</v>
      </c>
      <c r="B7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7">
        <v>20000000</v>
      </c>
      <c r="D77">
        <v>0</v>
      </c>
      <c r="E77">
        <v>-8000000</v>
      </c>
      <c r="F77">
        <v>12000000</v>
      </c>
      <c r="G77">
        <v>0</v>
      </c>
      <c r="H77">
        <v>12000000</v>
      </c>
      <c r="I77">
        <v>13200000</v>
      </c>
      <c r="J77">
        <v>1500000</v>
      </c>
      <c r="L77" t="s">
        <v>150</v>
      </c>
      <c r="M7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7">
        <v>20000000</v>
      </c>
      <c r="O77">
        <v>0</v>
      </c>
      <c r="P77">
        <v>-1818182</v>
      </c>
      <c r="Q77">
        <v>18181818</v>
      </c>
      <c r="R77">
        <v>0</v>
      </c>
      <c r="S77">
        <v>18181818</v>
      </c>
      <c r="T77">
        <v>20000000</v>
      </c>
      <c r="U77">
        <v>0</v>
      </c>
      <c r="W77" t="s">
        <v>330</v>
      </c>
      <c r="X7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7">
        <v>2000000</v>
      </c>
      <c r="Z77">
        <v>0</v>
      </c>
      <c r="AA77">
        <v>0</v>
      </c>
      <c r="AB77">
        <v>2000000</v>
      </c>
      <c r="AC77">
        <v>0</v>
      </c>
      <c r="AD77">
        <v>2000000</v>
      </c>
      <c r="AE77">
        <v>2200000</v>
      </c>
      <c r="AF77">
        <v>0</v>
      </c>
      <c r="AH77" t="s">
        <v>391</v>
      </c>
      <c r="AI7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</row>
    <row r="78" spans="1:43" x14ac:dyDescent="0.3">
      <c r="A78" t="s">
        <v>47</v>
      </c>
      <c r="B7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8">
        <v>20000000</v>
      </c>
      <c r="D78">
        <v>0</v>
      </c>
      <c r="E78">
        <v>-8000000</v>
      </c>
      <c r="F78">
        <v>12000000</v>
      </c>
      <c r="G78">
        <v>0</v>
      </c>
      <c r="H78">
        <v>12000000</v>
      </c>
      <c r="I78">
        <v>13200000</v>
      </c>
      <c r="J78">
        <v>0</v>
      </c>
      <c r="L78" t="s">
        <v>48</v>
      </c>
      <c r="M7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8">
        <v>18000000</v>
      </c>
      <c r="O78">
        <v>0</v>
      </c>
      <c r="P78">
        <v>-6160000</v>
      </c>
      <c r="Q78">
        <v>11840000</v>
      </c>
      <c r="R78">
        <v>0</v>
      </c>
      <c r="S78">
        <v>11840000</v>
      </c>
      <c r="T78">
        <v>13024000</v>
      </c>
      <c r="U78">
        <v>0</v>
      </c>
      <c r="W78" t="s">
        <v>331</v>
      </c>
      <c r="X7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8">
        <v>2000000</v>
      </c>
      <c r="Z78">
        <v>0</v>
      </c>
      <c r="AA78">
        <v>0</v>
      </c>
      <c r="AB78">
        <v>2000000</v>
      </c>
      <c r="AC78">
        <v>0</v>
      </c>
      <c r="AD78">
        <v>2000000</v>
      </c>
      <c r="AE78">
        <v>2200000</v>
      </c>
      <c r="AF78">
        <v>0</v>
      </c>
      <c r="AH78" t="s">
        <v>138</v>
      </c>
      <c r="AI7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</row>
    <row r="79" spans="1:43" x14ac:dyDescent="0.3">
      <c r="A79" t="s">
        <v>52</v>
      </c>
      <c r="B7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79">
        <v>20000000</v>
      </c>
      <c r="D79">
        <v>0</v>
      </c>
      <c r="E79">
        <v>0</v>
      </c>
      <c r="F79">
        <v>20000000</v>
      </c>
      <c r="G79">
        <v>0</v>
      </c>
      <c r="H79">
        <v>20000000</v>
      </c>
      <c r="I79">
        <v>22000000</v>
      </c>
      <c r="J79">
        <v>0</v>
      </c>
      <c r="L79" t="s">
        <v>155</v>
      </c>
      <c r="M7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79">
        <v>18000000</v>
      </c>
      <c r="O79">
        <v>0</v>
      </c>
      <c r="P79">
        <v>0</v>
      </c>
      <c r="Q79">
        <v>18000000</v>
      </c>
      <c r="R79">
        <v>0</v>
      </c>
      <c r="S79">
        <v>18000000</v>
      </c>
      <c r="T79">
        <v>19800000</v>
      </c>
      <c r="U79">
        <v>0</v>
      </c>
      <c r="W79" t="s">
        <v>312</v>
      </c>
      <c r="X7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79">
        <v>2000000</v>
      </c>
      <c r="Z79">
        <v>0</v>
      </c>
      <c r="AA79">
        <v>0</v>
      </c>
      <c r="AB79">
        <v>2000000</v>
      </c>
      <c r="AC79">
        <v>0</v>
      </c>
      <c r="AD79">
        <v>2000000</v>
      </c>
      <c r="AE79">
        <v>2200000</v>
      </c>
      <c r="AF79">
        <v>0</v>
      </c>
      <c r="AH79" t="s">
        <v>211</v>
      </c>
      <c r="AI7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</row>
    <row r="80" spans="1:43" x14ac:dyDescent="0.3">
      <c r="A80" t="s">
        <v>137</v>
      </c>
      <c r="B8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0">
        <v>20000000</v>
      </c>
      <c r="D80">
        <v>0</v>
      </c>
      <c r="E80">
        <v>-2400000</v>
      </c>
      <c r="F80">
        <v>17600000</v>
      </c>
      <c r="G80">
        <v>0</v>
      </c>
      <c r="H80">
        <v>17600000</v>
      </c>
      <c r="I80">
        <v>14960000</v>
      </c>
      <c r="J80">
        <v>0</v>
      </c>
      <c r="L80" t="s">
        <v>160</v>
      </c>
      <c r="M8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0">
        <v>17000000</v>
      </c>
      <c r="O80">
        <v>0</v>
      </c>
      <c r="P80">
        <v>-3900000</v>
      </c>
      <c r="Q80">
        <v>13100000</v>
      </c>
      <c r="R80">
        <v>0</v>
      </c>
      <c r="S80">
        <v>13100000</v>
      </c>
      <c r="T80">
        <v>14410000</v>
      </c>
      <c r="U80">
        <v>1500000</v>
      </c>
      <c r="W80" t="s">
        <v>336</v>
      </c>
      <c r="X8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0">
        <v>850000</v>
      </c>
      <c r="Z80">
        <v>0</v>
      </c>
      <c r="AA80">
        <v>0</v>
      </c>
      <c r="AB80">
        <v>850000</v>
      </c>
      <c r="AC80">
        <v>0</v>
      </c>
      <c r="AD80">
        <v>850000</v>
      </c>
      <c r="AE80">
        <v>0</v>
      </c>
      <c r="AF80">
        <v>0</v>
      </c>
      <c r="AH80" t="s">
        <v>395</v>
      </c>
      <c r="AI8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</row>
    <row r="81" spans="1:43" x14ac:dyDescent="0.3">
      <c r="A81" t="s">
        <v>96</v>
      </c>
      <c r="B8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1">
        <v>20000000</v>
      </c>
      <c r="D81">
        <v>0</v>
      </c>
      <c r="E81">
        <v>0</v>
      </c>
      <c r="F81">
        <v>20000000</v>
      </c>
      <c r="G81">
        <v>0</v>
      </c>
      <c r="H81">
        <v>20000000</v>
      </c>
      <c r="I81">
        <v>22000000</v>
      </c>
      <c r="J81">
        <v>3000000</v>
      </c>
      <c r="L81" t="s">
        <v>162</v>
      </c>
      <c r="M8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1">
        <v>16900000</v>
      </c>
      <c r="O81">
        <v>0</v>
      </c>
      <c r="P81">
        <v>0</v>
      </c>
      <c r="Q81">
        <v>16900000</v>
      </c>
      <c r="R81">
        <v>0</v>
      </c>
      <c r="S81">
        <v>16900000</v>
      </c>
      <c r="T81">
        <v>18590000</v>
      </c>
      <c r="U81">
        <v>0</v>
      </c>
      <c r="W81" t="s">
        <v>345</v>
      </c>
      <c r="X8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H81" t="s">
        <v>396</v>
      </c>
      <c r="AI8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</row>
    <row r="82" spans="1:43" x14ac:dyDescent="0.3">
      <c r="A82" t="s">
        <v>141</v>
      </c>
      <c r="B8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2">
        <v>20000000</v>
      </c>
      <c r="D82">
        <v>0</v>
      </c>
      <c r="E82">
        <v>-9000000</v>
      </c>
      <c r="F82">
        <v>11000000</v>
      </c>
      <c r="G82">
        <v>0</v>
      </c>
      <c r="H82">
        <v>11000000</v>
      </c>
      <c r="I82">
        <v>12100000</v>
      </c>
      <c r="J82">
        <v>0</v>
      </c>
      <c r="L82" t="s">
        <v>167</v>
      </c>
      <c r="M8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2">
        <v>16000000</v>
      </c>
      <c r="O82">
        <v>0</v>
      </c>
      <c r="P82">
        <v>0</v>
      </c>
      <c r="Q82">
        <v>16000000</v>
      </c>
      <c r="R82">
        <v>0</v>
      </c>
      <c r="S82">
        <v>16000000</v>
      </c>
      <c r="T82">
        <v>17600000</v>
      </c>
      <c r="U82">
        <v>0</v>
      </c>
      <c r="W82" t="s">
        <v>121</v>
      </c>
      <c r="X8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2">
        <v>0</v>
      </c>
      <c r="Z82">
        <v>0</v>
      </c>
      <c r="AA82">
        <v>0</v>
      </c>
      <c r="AB82">
        <v>0</v>
      </c>
      <c r="AC82">
        <v>10000000</v>
      </c>
      <c r="AD82">
        <v>10000000</v>
      </c>
      <c r="AE82">
        <v>11000000</v>
      </c>
      <c r="AF82">
        <v>9000000</v>
      </c>
      <c r="AH82" t="s">
        <v>155</v>
      </c>
      <c r="AI8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</row>
    <row r="83" spans="1:43" x14ac:dyDescent="0.3">
      <c r="A83" t="s">
        <v>62</v>
      </c>
      <c r="B8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3">
        <v>20000000</v>
      </c>
      <c r="D83">
        <v>0</v>
      </c>
      <c r="E83">
        <v>-9000000</v>
      </c>
      <c r="F83">
        <v>11000000</v>
      </c>
      <c r="G83">
        <v>0</v>
      </c>
      <c r="H83">
        <v>11000000</v>
      </c>
      <c r="I83">
        <v>12100000</v>
      </c>
      <c r="J83">
        <v>0</v>
      </c>
      <c r="L83" t="s">
        <v>127</v>
      </c>
      <c r="M8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3">
        <v>15500000</v>
      </c>
      <c r="O83">
        <v>0</v>
      </c>
      <c r="P83">
        <v>-1500000</v>
      </c>
      <c r="Q83">
        <v>14000000</v>
      </c>
      <c r="R83">
        <v>0</v>
      </c>
      <c r="S83">
        <v>14000000</v>
      </c>
      <c r="T83">
        <v>15400000</v>
      </c>
      <c r="U83">
        <v>1875000</v>
      </c>
      <c r="W83" t="s">
        <v>134</v>
      </c>
      <c r="X8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H83" t="s">
        <v>400</v>
      </c>
      <c r="AI8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</row>
    <row r="84" spans="1:43" x14ac:dyDescent="0.3">
      <c r="A84" t="s">
        <v>70</v>
      </c>
      <c r="B8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4">
        <v>20000000</v>
      </c>
      <c r="D84">
        <v>0</v>
      </c>
      <c r="E84">
        <v>-8000000</v>
      </c>
      <c r="F84">
        <v>12000000</v>
      </c>
      <c r="G84">
        <v>0</v>
      </c>
      <c r="H84">
        <v>12000000</v>
      </c>
      <c r="I84">
        <v>13200000</v>
      </c>
      <c r="J84">
        <v>0</v>
      </c>
      <c r="L84" t="s">
        <v>113</v>
      </c>
      <c r="M8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4">
        <v>15000000</v>
      </c>
      <c r="O84">
        <v>0</v>
      </c>
      <c r="P84">
        <v>0</v>
      </c>
      <c r="Q84">
        <v>15000000</v>
      </c>
      <c r="R84">
        <v>0</v>
      </c>
      <c r="S84">
        <v>15000000</v>
      </c>
      <c r="T84">
        <v>16500000</v>
      </c>
      <c r="U84">
        <v>2250000</v>
      </c>
      <c r="W84" t="s">
        <v>350</v>
      </c>
      <c r="X8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H84" t="s">
        <v>130</v>
      </c>
      <c r="AI84" t="str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샤넬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</row>
    <row r="85" spans="1:43" x14ac:dyDescent="0.3">
      <c r="A85" t="s">
        <v>144</v>
      </c>
      <c r="B8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5">
        <v>20000000</v>
      </c>
      <c r="D85">
        <v>0</v>
      </c>
      <c r="E85">
        <v>-9000000</v>
      </c>
      <c r="F85">
        <v>11000000</v>
      </c>
      <c r="G85">
        <v>0</v>
      </c>
      <c r="H85">
        <v>11000000</v>
      </c>
      <c r="I85">
        <v>12100000</v>
      </c>
      <c r="J85">
        <v>0</v>
      </c>
      <c r="L85" t="s">
        <v>175</v>
      </c>
      <c r="M8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5">
        <v>15000000</v>
      </c>
      <c r="O85">
        <v>0</v>
      </c>
      <c r="P85">
        <v>-10000000</v>
      </c>
      <c r="Q85">
        <v>5000000</v>
      </c>
      <c r="R85">
        <v>0</v>
      </c>
      <c r="S85">
        <v>5000000</v>
      </c>
      <c r="T85">
        <v>5500000</v>
      </c>
      <c r="U85">
        <v>0</v>
      </c>
      <c r="W85" t="s">
        <v>290</v>
      </c>
      <c r="X8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H85" t="s">
        <v>128</v>
      </c>
      <c r="AI8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</row>
    <row r="86" spans="1:43" x14ac:dyDescent="0.3">
      <c r="A86" t="s">
        <v>146</v>
      </c>
      <c r="B8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6">
        <v>20000000</v>
      </c>
      <c r="D86">
        <v>0</v>
      </c>
      <c r="E86">
        <v>-6000000</v>
      </c>
      <c r="F86">
        <v>14000000</v>
      </c>
      <c r="G86">
        <v>0</v>
      </c>
      <c r="H86">
        <v>14000000</v>
      </c>
      <c r="I86">
        <v>15400000</v>
      </c>
      <c r="J86">
        <v>1500000</v>
      </c>
      <c r="L86" t="s">
        <v>176</v>
      </c>
      <c r="M8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6">
        <v>15000000</v>
      </c>
      <c r="O86">
        <v>0</v>
      </c>
      <c r="P86">
        <v>-2200000</v>
      </c>
      <c r="Q86">
        <v>12800000</v>
      </c>
      <c r="R86">
        <v>0</v>
      </c>
      <c r="S86">
        <v>12800000</v>
      </c>
      <c r="T86">
        <v>14080000</v>
      </c>
      <c r="U86">
        <v>0</v>
      </c>
      <c r="W86" t="s">
        <v>363</v>
      </c>
      <c r="X8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H86" t="s">
        <v>227</v>
      </c>
      <c r="AI8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</row>
    <row r="87" spans="1:43" x14ac:dyDescent="0.3">
      <c r="A87" t="s">
        <v>149</v>
      </c>
      <c r="B8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7">
        <v>20000000</v>
      </c>
      <c r="D87">
        <v>0</v>
      </c>
      <c r="E87">
        <v>-6000000</v>
      </c>
      <c r="F87">
        <v>14000000</v>
      </c>
      <c r="G87">
        <v>0</v>
      </c>
      <c r="H87">
        <v>14000000</v>
      </c>
      <c r="I87">
        <v>15400000</v>
      </c>
      <c r="J87">
        <v>1500000</v>
      </c>
      <c r="L87" t="s">
        <v>21</v>
      </c>
      <c r="M8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7">
        <v>15000000</v>
      </c>
      <c r="O87">
        <v>0</v>
      </c>
      <c r="P87">
        <v>-5060000</v>
      </c>
      <c r="Q87">
        <v>9940000</v>
      </c>
      <c r="R87">
        <v>0</v>
      </c>
      <c r="S87">
        <v>9940000</v>
      </c>
      <c r="T87">
        <v>10934000</v>
      </c>
      <c r="U87">
        <v>0</v>
      </c>
      <c r="W87" t="s">
        <v>369</v>
      </c>
      <c r="X8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H87" t="s">
        <v>409</v>
      </c>
      <c r="AI8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</row>
    <row r="88" spans="1:43" x14ac:dyDescent="0.3">
      <c r="A88" t="s">
        <v>101</v>
      </c>
      <c r="B8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8">
        <v>20000000</v>
      </c>
      <c r="D88">
        <v>0</v>
      </c>
      <c r="E88">
        <v>0</v>
      </c>
      <c r="F88">
        <v>20000000</v>
      </c>
      <c r="G88">
        <v>0</v>
      </c>
      <c r="H88">
        <v>20000000</v>
      </c>
      <c r="I88">
        <v>22000000</v>
      </c>
      <c r="J88">
        <v>0</v>
      </c>
      <c r="L88" t="s">
        <v>59</v>
      </c>
      <c r="M8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8">
        <v>15000000</v>
      </c>
      <c r="O88">
        <v>0</v>
      </c>
      <c r="P88">
        <v>-1700000</v>
      </c>
      <c r="Q88">
        <v>13300000</v>
      </c>
      <c r="R88">
        <v>0</v>
      </c>
      <c r="S88">
        <v>13300000</v>
      </c>
      <c r="T88">
        <v>14630000</v>
      </c>
      <c r="U88">
        <v>3525000</v>
      </c>
      <c r="W88" t="s">
        <v>370</v>
      </c>
      <c r="X8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H88" t="s">
        <v>175</v>
      </c>
      <c r="AI8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</row>
    <row r="89" spans="1:43" x14ac:dyDescent="0.3">
      <c r="A89" t="s">
        <v>151</v>
      </c>
      <c r="B8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89">
        <v>19600000</v>
      </c>
      <c r="D89">
        <v>0</v>
      </c>
      <c r="E89">
        <v>0</v>
      </c>
      <c r="F89">
        <v>19600000</v>
      </c>
      <c r="G89">
        <v>0</v>
      </c>
      <c r="H89">
        <v>19600000</v>
      </c>
      <c r="I89">
        <v>21560000</v>
      </c>
      <c r="J89">
        <v>0</v>
      </c>
      <c r="L89" t="s">
        <v>181</v>
      </c>
      <c r="M8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89">
        <v>15000000</v>
      </c>
      <c r="O89">
        <v>0</v>
      </c>
      <c r="P89">
        <v>-2100000</v>
      </c>
      <c r="Q89">
        <v>12900000</v>
      </c>
      <c r="R89">
        <v>0</v>
      </c>
      <c r="S89">
        <v>12900000</v>
      </c>
      <c r="T89">
        <v>14190000</v>
      </c>
      <c r="U89">
        <v>2250000</v>
      </c>
      <c r="W89" t="s">
        <v>30</v>
      </c>
      <c r="X8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H89" t="s">
        <v>415</v>
      </c>
      <c r="AI8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</row>
    <row r="90" spans="1:43" x14ac:dyDescent="0.3">
      <c r="A90" t="s">
        <v>98</v>
      </c>
      <c r="B9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0">
        <v>19000000</v>
      </c>
      <c r="D90">
        <v>0</v>
      </c>
      <c r="E90">
        <v>0</v>
      </c>
      <c r="F90">
        <v>19000000</v>
      </c>
      <c r="G90">
        <v>0</v>
      </c>
      <c r="H90">
        <v>19000000</v>
      </c>
      <c r="I90">
        <v>20900000</v>
      </c>
      <c r="J90">
        <v>0</v>
      </c>
      <c r="L90" t="s">
        <v>130</v>
      </c>
      <c r="M90" t="str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샤넬</v>
      </c>
      <c r="N90">
        <v>14000000</v>
      </c>
      <c r="O90">
        <v>0</v>
      </c>
      <c r="P90">
        <v>0</v>
      </c>
      <c r="Q90">
        <v>14000000</v>
      </c>
      <c r="R90">
        <v>8000000</v>
      </c>
      <c r="S90">
        <v>22000000</v>
      </c>
      <c r="T90">
        <v>24200000</v>
      </c>
      <c r="U90">
        <v>0</v>
      </c>
      <c r="W90" t="s">
        <v>382</v>
      </c>
      <c r="X9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H90" t="s">
        <v>417</v>
      </c>
      <c r="AI9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</row>
    <row r="91" spans="1:43" x14ac:dyDescent="0.3">
      <c r="A91" t="s">
        <v>154</v>
      </c>
      <c r="B9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1">
        <v>18000000</v>
      </c>
      <c r="D91">
        <v>0</v>
      </c>
      <c r="E91">
        <v>0</v>
      </c>
      <c r="F91">
        <v>18000000</v>
      </c>
      <c r="G91">
        <v>0</v>
      </c>
      <c r="H91">
        <v>18000000</v>
      </c>
      <c r="I91">
        <v>19800000</v>
      </c>
      <c r="J91">
        <v>0</v>
      </c>
      <c r="L91" t="s">
        <v>191</v>
      </c>
      <c r="M9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1">
        <v>13000000</v>
      </c>
      <c r="O91">
        <v>-13000000</v>
      </c>
      <c r="P91">
        <v>0</v>
      </c>
      <c r="Q91">
        <v>0</v>
      </c>
      <c r="R91">
        <v>0</v>
      </c>
      <c r="S91">
        <v>0</v>
      </c>
      <c r="T91">
        <v>0</v>
      </c>
      <c r="U91">
        <v>1950000</v>
      </c>
      <c r="W91" t="s">
        <v>385</v>
      </c>
      <c r="X9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H91" t="s">
        <v>418</v>
      </c>
      <c r="AI9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</row>
    <row r="92" spans="1:43" x14ac:dyDescent="0.3">
      <c r="A92" t="s">
        <v>128</v>
      </c>
      <c r="B9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2">
        <v>18000000</v>
      </c>
      <c r="D92">
        <v>0</v>
      </c>
      <c r="E92">
        <v>-6000000</v>
      </c>
      <c r="F92">
        <v>12000000</v>
      </c>
      <c r="G92">
        <v>0</v>
      </c>
      <c r="H92">
        <v>12000000</v>
      </c>
      <c r="I92">
        <v>13200000</v>
      </c>
      <c r="J92">
        <v>0</v>
      </c>
      <c r="L92" t="s">
        <v>197</v>
      </c>
      <c r="M9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2">
        <v>12000000</v>
      </c>
      <c r="O92">
        <v>0</v>
      </c>
      <c r="P92">
        <v>0</v>
      </c>
      <c r="Q92">
        <v>12000000</v>
      </c>
      <c r="R92">
        <v>0</v>
      </c>
      <c r="S92">
        <v>12000000</v>
      </c>
      <c r="T92">
        <v>13200000</v>
      </c>
      <c r="U92">
        <v>0</v>
      </c>
      <c r="W92" t="s">
        <v>386</v>
      </c>
      <c r="X9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H92" t="s">
        <v>419</v>
      </c>
      <c r="AI9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</row>
    <row r="93" spans="1:43" x14ac:dyDescent="0.3">
      <c r="A93" t="s">
        <v>156</v>
      </c>
      <c r="B9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3">
        <v>18000000</v>
      </c>
      <c r="D93">
        <v>0</v>
      </c>
      <c r="E93">
        <v>0</v>
      </c>
      <c r="F93">
        <v>18000000</v>
      </c>
      <c r="G93">
        <v>0</v>
      </c>
      <c r="H93">
        <v>18000000</v>
      </c>
      <c r="I93">
        <v>19800000</v>
      </c>
      <c r="J93">
        <v>0</v>
      </c>
      <c r="L93" t="s">
        <v>157</v>
      </c>
      <c r="M9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3">
        <v>12000000</v>
      </c>
      <c r="O93">
        <v>0</v>
      </c>
      <c r="P93">
        <v>-3900000</v>
      </c>
      <c r="Q93">
        <v>8100000</v>
      </c>
      <c r="R93">
        <v>0</v>
      </c>
      <c r="S93">
        <v>8100000</v>
      </c>
      <c r="T93">
        <v>8910000</v>
      </c>
      <c r="U93">
        <v>0</v>
      </c>
      <c r="W93" t="s">
        <v>388</v>
      </c>
      <c r="X9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H93" t="s">
        <v>421</v>
      </c>
      <c r="AI9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</row>
    <row r="94" spans="1:43" x14ac:dyDescent="0.3">
      <c r="A94" t="s">
        <v>163</v>
      </c>
      <c r="B9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4">
        <v>16800000</v>
      </c>
      <c r="D94">
        <v>0</v>
      </c>
      <c r="E94">
        <v>-1527272</v>
      </c>
      <c r="F94">
        <v>15272728</v>
      </c>
      <c r="G94">
        <v>0</v>
      </c>
      <c r="H94">
        <v>15272728</v>
      </c>
      <c r="I94">
        <v>16800000</v>
      </c>
      <c r="J94">
        <v>0</v>
      </c>
      <c r="L94" t="s">
        <v>202</v>
      </c>
      <c r="M9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4">
        <v>12000000</v>
      </c>
      <c r="O94">
        <v>0</v>
      </c>
      <c r="P94">
        <v>0</v>
      </c>
      <c r="Q94">
        <v>12000000</v>
      </c>
      <c r="R94">
        <v>0</v>
      </c>
      <c r="S94">
        <v>12000000</v>
      </c>
      <c r="T94">
        <v>13200000</v>
      </c>
      <c r="U94">
        <v>0</v>
      </c>
      <c r="W94" t="s">
        <v>260</v>
      </c>
      <c r="X9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H94" t="s">
        <v>425</v>
      </c>
      <c r="AI9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</row>
    <row r="95" spans="1:43" x14ac:dyDescent="0.3">
      <c r="A95" t="s">
        <v>164</v>
      </c>
      <c r="B9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5">
        <v>16000000</v>
      </c>
      <c r="D95">
        <v>0</v>
      </c>
      <c r="E95">
        <v>0</v>
      </c>
      <c r="F95">
        <v>16000000</v>
      </c>
      <c r="G95">
        <v>0</v>
      </c>
      <c r="H95">
        <v>16000000</v>
      </c>
      <c r="I95">
        <v>17600000</v>
      </c>
      <c r="J95">
        <v>0</v>
      </c>
      <c r="L95" t="s">
        <v>132</v>
      </c>
      <c r="M9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5">
        <v>11088000</v>
      </c>
      <c r="O95">
        <v>0</v>
      </c>
      <c r="P95">
        <v>0</v>
      </c>
      <c r="Q95">
        <v>11088000</v>
      </c>
      <c r="R95">
        <v>0</v>
      </c>
      <c r="S95">
        <v>11088000</v>
      </c>
      <c r="T95">
        <v>12196800</v>
      </c>
      <c r="U95">
        <v>0</v>
      </c>
      <c r="W95" t="s">
        <v>23</v>
      </c>
      <c r="X9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H95" t="s">
        <v>178</v>
      </c>
      <c r="AI9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5">
        <v>0</v>
      </c>
      <c r="AK95">
        <v>0</v>
      </c>
      <c r="AL95">
        <v>0</v>
      </c>
      <c r="AM95">
        <v>0</v>
      </c>
      <c r="AN95">
        <v>10000000</v>
      </c>
      <c r="AO95">
        <v>10000000</v>
      </c>
      <c r="AP95">
        <v>11000000</v>
      </c>
      <c r="AQ95">
        <v>1500000</v>
      </c>
    </row>
    <row r="96" spans="1:43" x14ac:dyDescent="0.3">
      <c r="A96" t="s">
        <v>169</v>
      </c>
      <c r="B9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6">
        <v>15000000</v>
      </c>
      <c r="D96">
        <v>0</v>
      </c>
      <c r="E96">
        <v>-500000</v>
      </c>
      <c r="F96">
        <v>14500000</v>
      </c>
      <c r="G96">
        <v>0</v>
      </c>
      <c r="H96">
        <v>14500000</v>
      </c>
      <c r="I96">
        <v>15950000</v>
      </c>
      <c r="J96">
        <v>2250000</v>
      </c>
      <c r="L96" t="s">
        <v>207</v>
      </c>
      <c r="M9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6">
        <v>11000000</v>
      </c>
      <c r="O96">
        <v>0</v>
      </c>
      <c r="P96">
        <v>0</v>
      </c>
      <c r="Q96">
        <v>11000000</v>
      </c>
      <c r="R96">
        <v>0</v>
      </c>
      <c r="S96">
        <v>11000000</v>
      </c>
      <c r="T96">
        <v>12100000</v>
      </c>
      <c r="U96">
        <v>1500000</v>
      </c>
      <c r="W96" t="s">
        <v>402</v>
      </c>
      <c r="X9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H96" t="s">
        <v>426</v>
      </c>
      <c r="AI9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</row>
    <row r="97" spans="1:43" x14ac:dyDescent="0.3">
      <c r="A97" t="s">
        <v>170</v>
      </c>
      <c r="B9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7">
        <v>15000000</v>
      </c>
      <c r="D97">
        <v>0</v>
      </c>
      <c r="E97">
        <v>0</v>
      </c>
      <c r="F97">
        <v>15000000</v>
      </c>
      <c r="G97">
        <v>0</v>
      </c>
      <c r="H97">
        <v>15000000</v>
      </c>
      <c r="I97">
        <v>16500000</v>
      </c>
      <c r="J97">
        <v>0</v>
      </c>
      <c r="L97" t="s">
        <v>212</v>
      </c>
      <c r="M9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7">
        <v>10500000</v>
      </c>
      <c r="O97">
        <v>0</v>
      </c>
      <c r="P97">
        <v>0</v>
      </c>
      <c r="Q97">
        <v>10500000</v>
      </c>
      <c r="R97">
        <v>0</v>
      </c>
      <c r="S97">
        <v>10500000</v>
      </c>
      <c r="T97">
        <v>11550000</v>
      </c>
      <c r="U97">
        <v>0</v>
      </c>
      <c r="W97" t="s">
        <v>77</v>
      </c>
      <c r="X9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H97" t="s">
        <v>111</v>
      </c>
      <c r="AI9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7">
        <v>0</v>
      </c>
      <c r="AK97">
        <v>0</v>
      </c>
      <c r="AL97">
        <v>0</v>
      </c>
      <c r="AM97">
        <v>0</v>
      </c>
      <c r="AN97">
        <v>25084151</v>
      </c>
      <c r="AO97">
        <v>25084151</v>
      </c>
      <c r="AP97">
        <v>27592566</v>
      </c>
      <c r="AQ97">
        <v>3762622</v>
      </c>
    </row>
    <row r="98" spans="1:43" x14ac:dyDescent="0.3">
      <c r="A98" t="s">
        <v>171</v>
      </c>
      <c r="B9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8">
        <v>15000000</v>
      </c>
      <c r="D98">
        <v>0</v>
      </c>
      <c r="E98">
        <v>0</v>
      </c>
      <c r="F98">
        <v>15000000</v>
      </c>
      <c r="G98">
        <v>0</v>
      </c>
      <c r="H98">
        <v>15000000</v>
      </c>
      <c r="I98">
        <v>16500000</v>
      </c>
      <c r="J98">
        <v>2250000</v>
      </c>
      <c r="L98" t="s">
        <v>213</v>
      </c>
      <c r="M9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8">
        <v>10000000</v>
      </c>
      <c r="O98">
        <v>0</v>
      </c>
      <c r="P98">
        <v>0</v>
      </c>
      <c r="Q98">
        <v>10000000</v>
      </c>
      <c r="R98">
        <v>0</v>
      </c>
      <c r="S98">
        <v>10000000</v>
      </c>
      <c r="T98">
        <v>11000000</v>
      </c>
      <c r="U98">
        <v>0</v>
      </c>
      <c r="W98" t="s">
        <v>403</v>
      </c>
      <c r="X9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H98" t="s">
        <v>429</v>
      </c>
      <c r="AI9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</row>
    <row r="99" spans="1:43" x14ac:dyDescent="0.3">
      <c r="A99" t="s">
        <v>172</v>
      </c>
      <c r="B9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99">
        <v>15000000</v>
      </c>
      <c r="D99">
        <v>0</v>
      </c>
      <c r="E99">
        <v>0</v>
      </c>
      <c r="F99">
        <v>15000000</v>
      </c>
      <c r="G99">
        <v>0</v>
      </c>
      <c r="H99">
        <v>15000000</v>
      </c>
      <c r="I99">
        <v>16500000</v>
      </c>
      <c r="J99">
        <v>0</v>
      </c>
      <c r="L99" t="s">
        <v>43</v>
      </c>
      <c r="M9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99">
        <v>10000000</v>
      </c>
      <c r="O99">
        <v>0</v>
      </c>
      <c r="P99">
        <v>0</v>
      </c>
      <c r="Q99">
        <v>10000000</v>
      </c>
      <c r="R99">
        <v>0</v>
      </c>
      <c r="S99">
        <v>10000000</v>
      </c>
      <c r="T99">
        <v>11000000</v>
      </c>
      <c r="U99">
        <v>1500000</v>
      </c>
      <c r="W99" t="s">
        <v>78</v>
      </c>
      <c r="X9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H99" t="s">
        <v>433</v>
      </c>
      <c r="AI9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</row>
    <row r="100" spans="1:43" x14ac:dyDescent="0.3">
      <c r="A100" t="s">
        <v>174</v>
      </c>
      <c r="B10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0">
        <v>15000000</v>
      </c>
      <c r="D100">
        <v>0</v>
      </c>
      <c r="E100">
        <v>-4072000</v>
      </c>
      <c r="F100">
        <v>10928000</v>
      </c>
      <c r="G100">
        <v>0</v>
      </c>
      <c r="H100">
        <v>10928000</v>
      </c>
      <c r="I100">
        <v>12020800</v>
      </c>
      <c r="J100">
        <v>1500000</v>
      </c>
      <c r="L100" t="s">
        <v>134</v>
      </c>
      <c r="M10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0">
        <v>10000000</v>
      </c>
      <c r="O100">
        <v>0</v>
      </c>
      <c r="P100">
        <v>0</v>
      </c>
      <c r="Q100">
        <v>10000000</v>
      </c>
      <c r="R100">
        <v>0</v>
      </c>
      <c r="S100">
        <v>10000000</v>
      </c>
      <c r="T100">
        <v>11000000</v>
      </c>
      <c r="U100">
        <v>0</v>
      </c>
      <c r="W100" t="s">
        <v>413</v>
      </c>
      <c r="X10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H100" t="s">
        <v>434</v>
      </c>
      <c r="AI10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</row>
    <row r="101" spans="1:43" x14ac:dyDescent="0.3">
      <c r="A101" t="s">
        <v>177</v>
      </c>
      <c r="B10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1">
        <v>15000000</v>
      </c>
      <c r="D101">
        <v>0</v>
      </c>
      <c r="E101">
        <v>-9000000</v>
      </c>
      <c r="F101">
        <v>6000000</v>
      </c>
      <c r="G101">
        <v>0</v>
      </c>
      <c r="H101">
        <v>6000000</v>
      </c>
      <c r="I101">
        <v>6600000</v>
      </c>
      <c r="J101">
        <v>0</v>
      </c>
      <c r="L101" t="s">
        <v>217</v>
      </c>
      <c r="M10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1">
        <v>10000000</v>
      </c>
      <c r="O101">
        <v>0</v>
      </c>
      <c r="P101">
        <v>0</v>
      </c>
      <c r="Q101">
        <v>10000000</v>
      </c>
      <c r="R101">
        <v>0</v>
      </c>
      <c r="S101">
        <v>10000000</v>
      </c>
      <c r="T101">
        <v>11000000</v>
      </c>
      <c r="U101">
        <v>1500000</v>
      </c>
      <c r="W101" t="s">
        <v>416</v>
      </c>
      <c r="X10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H101" t="s">
        <v>41</v>
      </c>
      <c r="AI10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</row>
    <row r="102" spans="1:43" x14ac:dyDescent="0.3">
      <c r="A102" t="s">
        <v>21</v>
      </c>
      <c r="B10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2">
        <v>15000000</v>
      </c>
      <c r="D102">
        <v>0</v>
      </c>
      <c r="E102">
        <v>-4072000</v>
      </c>
      <c r="F102">
        <v>10928000</v>
      </c>
      <c r="G102">
        <v>0</v>
      </c>
      <c r="H102">
        <v>10928000</v>
      </c>
      <c r="I102">
        <v>12020800</v>
      </c>
      <c r="J102">
        <v>0</v>
      </c>
      <c r="L102" t="s">
        <v>218</v>
      </c>
      <c r="M10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2">
        <v>10000000</v>
      </c>
      <c r="O102">
        <v>0</v>
      </c>
      <c r="P102">
        <v>0</v>
      </c>
      <c r="Q102">
        <v>10000000</v>
      </c>
      <c r="R102">
        <v>0</v>
      </c>
      <c r="S102">
        <v>10000000</v>
      </c>
      <c r="T102">
        <v>11000000</v>
      </c>
      <c r="U102">
        <v>0</v>
      </c>
      <c r="W102" t="s">
        <v>41</v>
      </c>
      <c r="X102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H102" t="s">
        <v>264</v>
      </c>
      <c r="AI10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</row>
    <row r="103" spans="1:43" x14ac:dyDescent="0.3">
      <c r="A103" t="s">
        <v>71</v>
      </c>
      <c r="B10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3">
        <v>15000000</v>
      </c>
      <c r="D103">
        <v>0</v>
      </c>
      <c r="E103">
        <v>-9000000</v>
      </c>
      <c r="F103">
        <v>6000000</v>
      </c>
      <c r="G103">
        <v>0</v>
      </c>
      <c r="H103">
        <v>6000000</v>
      </c>
      <c r="I103">
        <v>6600000</v>
      </c>
      <c r="J103">
        <v>0</v>
      </c>
      <c r="L103" t="s">
        <v>219</v>
      </c>
      <c r="M10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3">
        <v>10000000</v>
      </c>
      <c r="O103">
        <v>0</v>
      </c>
      <c r="P103">
        <v>0</v>
      </c>
      <c r="Q103">
        <v>10000000</v>
      </c>
      <c r="R103">
        <v>0</v>
      </c>
      <c r="S103">
        <v>10000000</v>
      </c>
      <c r="T103">
        <v>11000000</v>
      </c>
      <c r="U103">
        <v>0</v>
      </c>
      <c r="W103" t="s">
        <v>264</v>
      </c>
      <c r="X103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H103" t="s">
        <v>443</v>
      </c>
      <c r="AI10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</row>
    <row r="104" spans="1:43" x14ac:dyDescent="0.3">
      <c r="A104" t="s">
        <v>79</v>
      </c>
      <c r="B10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4">
        <v>15000000</v>
      </c>
      <c r="D104">
        <v>0</v>
      </c>
      <c r="E104">
        <v>-9000000</v>
      </c>
      <c r="F104">
        <v>6000000</v>
      </c>
      <c r="G104">
        <v>0</v>
      </c>
      <c r="H104">
        <v>6000000</v>
      </c>
      <c r="I104">
        <v>6600000</v>
      </c>
      <c r="J104">
        <v>750000</v>
      </c>
      <c r="L104" t="s">
        <v>220</v>
      </c>
      <c r="M10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4">
        <v>10000000</v>
      </c>
      <c r="O104">
        <v>0</v>
      </c>
      <c r="P104">
        <v>0</v>
      </c>
      <c r="Q104">
        <v>10000000</v>
      </c>
      <c r="R104">
        <v>0</v>
      </c>
      <c r="S104">
        <v>10000000</v>
      </c>
      <c r="T104">
        <v>11000000</v>
      </c>
      <c r="U104">
        <v>0</v>
      </c>
      <c r="W104" t="s">
        <v>438</v>
      </c>
      <c r="X104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H104" t="s">
        <v>445</v>
      </c>
      <c r="AI10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</row>
    <row r="105" spans="1:43" x14ac:dyDescent="0.3">
      <c r="A105" t="s">
        <v>182</v>
      </c>
      <c r="B10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5">
        <v>15000000</v>
      </c>
      <c r="D105">
        <v>0</v>
      </c>
      <c r="E105">
        <v>0</v>
      </c>
      <c r="F105">
        <v>15000000</v>
      </c>
      <c r="G105">
        <v>0</v>
      </c>
      <c r="H105">
        <v>15000000</v>
      </c>
      <c r="I105">
        <v>16500000</v>
      </c>
      <c r="J105">
        <v>0</v>
      </c>
      <c r="L105" t="s">
        <v>222</v>
      </c>
      <c r="M10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5">
        <v>10000000</v>
      </c>
      <c r="O105">
        <v>0</v>
      </c>
      <c r="P105">
        <v>0</v>
      </c>
      <c r="Q105">
        <v>10000000</v>
      </c>
      <c r="R105">
        <v>0</v>
      </c>
      <c r="S105">
        <v>10000000</v>
      </c>
      <c r="T105">
        <v>11000000</v>
      </c>
      <c r="U105">
        <v>0</v>
      </c>
      <c r="W105" t="s">
        <v>439</v>
      </c>
      <c r="X105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H105" t="s">
        <v>446</v>
      </c>
      <c r="AI10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</row>
    <row r="106" spans="1:43" x14ac:dyDescent="0.3">
      <c r="A106" t="s">
        <v>74</v>
      </c>
      <c r="B10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6">
        <v>14000000</v>
      </c>
      <c r="D106">
        <v>0</v>
      </c>
      <c r="E106">
        <v>-4000000</v>
      </c>
      <c r="F106">
        <v>10000000</v>
      </c>
      <c r="G106">
        <v>0</v>
      </c>
      <c r="H106">
        <v>10000000</v>
      </c>
      <c r="I106">
        <v>11000000</v>
      </c>
      <c r="J106">
        <v>0</v>
      </c>
      <c r="L106" t="s">
        <v>223</v>
      </c>
      <c r="M10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6">
        <v>10000000</v>
      </c>
      <c r="O106">
        <v>0</v>
      </c>
      <c r="P106">
        <v>0</v>
      </c>
      <c r="Q106">
        <v>10000000</v>
      </c>
      <c r="R106">
        <v>0</v>
      </c>
      <c r="S106">
        <v>10000000</v>
      </c>
      <c r="T106">
        <v>11000000</v>
      </c>
      <c r="U106">
        <v>1500000</v>
      </c>
      <c r="W106" t="s">
        <v>442</v>
      </c>
      <c r="X106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H106" t="s">
        <v>447</v>
      </c>
      <c r="AI10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</row>
    <row r="107" spans="1:43" x14ac:dyDescent="0.3">
      <c r="A107" t="s">
        <v>187</v>
      </c>
      <c r="B10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7">
        <v>14000000</v>
      </c>
      <c r="D107">
        <v>0</v>
      </c>
      <c r="E107">
        <v>0</v>
      </c>
      <c r="F107">
        <v>14000000</v>
      </c>
      <c r="G107">
        <v>0</v>
      </c>
      <c r="H107">
        <v>14000000</v>
      </c>
      <c r="I107">
        <v>15400000</v>
      </c>
      <c r="J107">
        <v>2100000</v>
      </c>
      <c r="L107" t="s">
        <v>225</v>
      </c>
      <c r="M10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7">
        <v>10000000</v>
      </c>
      <c r="O107">
        <v>0</v>
      </c>
      <c r="P107">
        <v>0</v>
      </c>
      <c r="Q107">
        <v>10000000</v>
      </c>
      <c r="R107">
        <v>0</v>
      </c>
      <c r="S107">
        <v>10000000</v>
      </c>
      <c r="T107">
        <v>11000000</v>
      </c>
      <c r="U107">
        <v>0</v>
      </c>
      <c r="W107" t="s">
        <v>286</v>
      </c>
      <c r="X107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900000</v>
      </c>
      <c r="AH107" t="s">
        <v>448</v>
      </c>
      <c r="AI10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</row>
    <row r="108" spans="1:43" x14ac:dyDescent="0.3">
      <c r="A108" t="s">
        <v>189</v>
      </c>
      <c r="B10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8">
        <v>13000000</v>
      </c>
      <c r="D108">
        <v>0</v>
      </c>
      <c r="E108">
        <v>0</v>
      </c>
      <c r="F108">
        <v>13000000</v>
      </c>
      <c r="G108">
        <v>0</v>
      </c>
      <c r="H108">
        <v>13000000</v>
      </c>
      <c r="I108">
        <v>14300000</v>
      </c>
      <c r="J108">
        <v>1950000</v>
      </c>
      <c r="L108" t="s">
        <v>226</v>
      </c>
      <c r="M10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8">
        <v>10000000</v>
      </c>
      <c r="O108">
        <v>0</v>
      </c>
      <c r="P108">
        <v>0</v>
      </c>
      <c r="Q108">
        <v>10000000</v>
      </c>
      <c r="R108">
        <v>0</v>
      </c>
      <c r="S108">
        <v>10000000</v>
      </c>
      <c r="T108">
        <v>11000000</v>
      </c>
      <c r="U108">
        <v>0</v>
      </c>
      <c r="W108" t="s">
        <v>449</v>
      </c>
      <c r="X108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H108" t="s">
        <v>75</v>
      </c>
      <c r="AI10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</row>
    <row r="109" spans="1:43" x14ac:dyDescent="0.3">
      <c r="A109" t="s">
        <v>190</v>
      </c>
      <c r="B10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09">
        <v>13000000</v>
      </c>
      <c r="D109">
        <v>0</v>
      </c>
      <c r="E109">
        <v>0</v>
      </c>
      <c r="F109">
        <v>13000000</v>
      </c>
      <c r="G109">
        <v>0</v>
      </c>
      <c r="H109">
        <v>13000000</v>
      </c>
      <c r="I109">
        <v>14300000</v>
      </c>
      <c r="J109">
        <v>1950000</v>
      </c>
      <c r="L109" t="s">
        <v>227</v>
      </c>
      <c r="M10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09">
        <v>10000000</v>
      </c>
      <c r="O109">
        <v>0</v>
      </c>
      <c r="P109">
        <v>0</v>
      </c>
      <c r="Q109">
        <v>10000000</v>
      </c>
      <c r="R109">
        <v>0</v>
      </c>
      <c r="S109">
        <v>10000000</v>
      </c>
      <c r="T109">
        <v>11000000</v>
      </c>
      <c r="U109">
        <v>0</v>
      </c>
      <c r="W109" t="s">
        <v>168</v>
      </c>
      <c r="X109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H109" t="s">
        <v>454</v>
      </c>
      <c r="AI109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</row>
    <row r="110" spans="1:43" x14ac:dyDescent="0.3">
      <c r="A110" t="s">
        <v>166</v>
      </c>
      <c r="B11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0">
        <v>13000000</v>
      </c>
      <c r="D110">
        <v>0</v>
      </c>
      <c r="E110">
        <v>0</v>
      </c>
      <c r="F110">
        <v>13000000</v>
      </c>
      <c r="G110">
        <v>0</v>
      </c>
      <c r="H110">
        <v>13000000</v>
      </c>
      <c r="I110">
        <v>14300000</v>
      </c>
      <c r="J110">
        <v>1950000</v>
      </c>
      <c r="L110" t="s">
        <v>165</v>
      </c>
      <c r="M11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0">
        <v>10000000</v>
      </c>
      <c r="O110">
        <v>0</v>
      </c>
      <c r="P110">
        <v>0</v>
      </c>
      <c r="Q110">
        <v>10000000</v>
      </c>
      <c r="R110">
        <v>0</v>
      </c>
      <c r="S110">
        <v>10000000</v>
      </c>
      <c r="T110">
        <v>11000000</v>
      </c>
      <c r="U110">
        <v>0</v>
      </c>
      <c r="W110" t="s">
        <v>471</v>
      </c>
      <c r="X110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H110" t="s">
        <v>455</v>
      </c>
      <c r="AI110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</row>
    <row r="111" spans="1:43" x14ac:dyDescent="0.3">
      <c r="A111" t="s">
        <v>193</v>
      </c>
      <c r="B11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1">
        <v>12000000</v>
      </c>
      <c r="D111">
        <v>0</v>
      </c>
      <c r="E111">
        <v>-6050750</v>
      </c>
      <c r="F111">
        <v>5949250</v>
      </c>
      <c r="G111">
        <v>0</v>
      </c>
      <c r="H111">
        <v>5949250</v>
      </c>
      <c r="I111">
        <v>6544175</v>
      </c>
      <c r="J111">
        <v>0</v>
      </c>
      <c r="L111" t="s">
        <v>228</v>
      </c>
      <c r="M11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1">
        <v>10000000</v>
      </c>
      <c r="O111">
        <v>0</v>
      </c>
      <c r="P111">
        <v>0</v>
      </c>
      <c r="Q111">
        <v>10000000</v>
      </c>
      <c r="R111">
        <v>0</v>
      </c>
      <c r="S111">
        <v>10000000</v>
      </c>
      <c r="T111">
        <v>11000000</v>
      </c>
      <c r="U111">
        <v>0</v>
      </c>
      <c r="W111" t="s">
        <v>473</v>
      </c>
      <c r="X111" t="b">
        <f>IF(ISNUMBER(SEARCH("프라다", 메종21[[#This Row],[브랜드]])), "프라다", IF(ISNUMBER(SEARCH("에르메스", 메종21[[#This Row],[브랜드]])), "에르메스", IF(ISNUMBER(SEARCH("디올", 메종21[[#This Row],[브랜드]])), "디올", IF(ISNUMBER(SEARCH("샤넬",메종21[[#This Row],[브랜드]])), "샤넬", IF(ISNUMBER(SEARCH("루이비통", 메종21[[#This Row],[브랜드]])), "루이비통")))))</f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H111" t="s">
        <v>458</v>
      </c>
      <c r="AI111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</row>
    <row r="112" spans="1:43" x14ac:dyDescent="0.3">
      <c r="A112" t="s">
        <v>198</v>
      </c>
      <c r="B11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2">
        <v>12000000</v>
      </c>
      <c r="D112">
        <v>0</v>
      </c>
      <c r="E112">
        <v>0</v>
      </c>
      <c r="F112">
        <v>12000000</v>
      </c>
      <c r="G112">
        <v>0</v>
      </c>
      <c r="H112">
        <v>12000000</v>
      </c>
      <c r="I112">
        <v>13200000</v>
      </c>
      <c r="J112">
        <v>0</v>
      </c>
      <c r="L112" t="s">
        <v>229</v>
      </c>
      <c r="M11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2">
        <v>10000000</v>
      </c>
      <c r="O112">
        <v>0</v>
      </c>
      <c r="P112">
        <v>-3900000</v>
      </c>
      <c r="Q112">
        <v>6100000</v>
      </c>
      <c r="R112">
        <v>0</v>
      </c>
      <c r="S112">
        <v>6100000</v>
      </c>
      <c r="T112">
        <v>6710000</v>
      </c>
      <c r="U112">
        <v>1500000</v>
      </c>
      <c r="AH112" t="s">
        <v>201</v>
      </c>
      <c r="AI112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</row>
    <row r="113" spans="1:43" x14ac:dyDescent="0.3">
      <c r="A113" t="s">
        <v>199</v>
      </c>
      <c r="B11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3">
        <v>12000000</v>
      </c>
      <c r="D113">
        <v>0</v>
      </c>
      <c r="E113">
        <v>-6050750</v>
      </c>
      <c r="F113">
        <v>5949250</v>
      </c>
      <c r="G113">
        <v>0</v>
      </c>
      <c r="H113">
        <v>5949250</v>
      </c>
      <c r="I113">
        <v>6544175</v>
      </c>
      <c r="J113">
        <v>0</v>
      </c>
      <c r="L113" t="s">
        <v>230</v>
      </c>
      <c r="M11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3">
        <v>10000000</v>
      </c>
      <c r="O113">
        <v>0</v>
      </c>
      <c r="P113">
        <v>0</v>
      </c>
      <c r="Q113">
        <v>10000000</v>
      </c>
      <c r="R113">
        <v>0</v>
      </c>
      <c r="S113">
        <v>10000000</v>
      </c>
      <c r="T113">
        <v>11000000</v>
      </c>
      <c r="U113">
        <v>1500000</v>
      </c>
      <c r="AH113" t="s">
        <v>461</v>
      </c>
      <c r="AI113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</row>
    <row r="114" spans="1:43" x14ac:dyDescent="0.3">
      <c r="A114" t="s">
        <v>206</v>
      </c>
      <c r="B11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4">
        <v>11500000</v>
      </c>
      <c r="D114">
        <v>0</v>
      </c>
      <c r="E114">
        <v>0</v>
      </c>
      <c r="F114">
        <v>11500000</v>
      </c>
      <c r="G114">
        <v>0</v>
      </c>
      <c r="H114">
        <v>11500000</v>
      </c>
      <c r="I114">
        <v>12650000</v>
      </c>
      <c r="J114">
        <v>1500000</v>
      </c>
      <c r="L114" t="s">
        <v>143</v>
      </c>
      <c r="M11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4">
        <v>10000000</v>
      </c>
      <c r="O114">
        <v>0</v>
      </c>
      <c r="P114">
        <v>0</v>
      </c>
      <c r="Q114">
        <v>10000000</v>
      </c>
      <c r="R114">
        <v>0</v>
      </c>
      <c r="S114">
        <v>10000000</v>
      </c>
      <c r="T114">
        <v>11000000</v>
      </c>
      <c r="U114">
        <v>0</v>
      </c>
      <c r="AH114" t="s">
        <v>36</v>
      </c>
      <c r="AI114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</row>
    <row r="115" spans="1:43" x14ac:dyDescent="0.3">
      <c r="A115" t="s">
        <v>208</v>
      </c>
      <c r="B11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5">
        <v>11000000</v>
      </c>
      <c r="D115">
        <v>0</v>
      </c>
      <c r="E115">
        <v>0</v>
      </c>
      <c r="F115">
        <v>11000000</v>
      </c>
      <c r="G115">
        <v>0</v>
      </c>
      <c r="H115">
        <v>11000000</v>
      </c>
      <c r="I115">
        <v>12100000</v>
      </c>
      <c r="J115">
        <v>1650000</v>
      </c>
      <c r="L115" t="s">
        <v>53</v>
      </c>
      <c r="M11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5">
        <v>10000000</v>
      </c>
      <c r="O115">
        <v>0</v>
      </c>
      <c r="P115">
        <v>0</v>
      </c>
      <c r="Q115">
        <v>10000000</v>
      </c>
      <c r="R115">
        <v>0</v>
      </c>
      <c r="S115">
        <v>10000000</v>
      </c>
      <c r="T115">
        <v>11000000</v>
      </c>
      <c r="U115">
        <v>0</v>
      </c>
      <c r="AH115" t="s">
        <v>66</v>
      </c>
      <c r="AI115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</row>
    <row r="116" spans="1:43" x14ac:dyDescent="0.3">
      <c r="A116" t="s">
        <v>209</v>
      </c>
      <c r="B11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6">
        <v>11000000</v>
      </c>
      <c r="D116">
        <v>0</v>
      </c>
      <c r="E116">
        <v>-6050750</v>
      </c>
      <c r="F116">
        <v>4949250</v>
      </c>
      <c r="G116">
        <v>0</v>
      </c>
      <c r="H116">
        <v>4949250</v>
      </c>
      <c r="I116">
        <v>5444175</v>
      </c>
      <c r="J116">
        <v>0</v>
      </c>
      <c r="L116" t="s">
        <v>98</v>
      </c>
      <c r="M11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6">
        <v>10000000</v>
      </c>
      <c r="O116">
        <v>-4000000</v>
      </c>
      <c r="P116">
        <v>0</v>
      </c>
      <c r="Q116">
        <v>6000000</v>
      </c>
      <c r="R116">
        <v>4000000</v>
      </c>
      <c r="S116">
        <v>10000000</v>
      </c>
      <c r="T116">
        <v>11000000</v>
      </c>
      <c r="U116">
        <v>0</v>
      </c>
      <c r="AH116" t="s">
        <v>468</v>
      </c>
      <c r="AI116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</row>
    <row r="117" spans="1:43" x14ac:dyDescent="0.3">
      <c r="A117" t="s">
        <v>214</v>
      </c>
      <c r="B11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7">
        <v>10000000</v>
      </c>
      <c r="D117">
        <v>0</v>
      </c>
      <c r="E117">
        <v>-5600000</v>
      </c>
      <c r="F117">
        <v>4400000</v>
      </c>
      <c r="G117">
        <v>0</v>
      </c>
      <c r="H117">
        <v>4400000</v>
      </c>
      <c r="I117">
        <v>4840000</v>
      </c>
      <c r="J117">
        <v>0</v>
      </c>
      <c r="L117" t="s">
        <v>158</v>
      </c>
      <c r="M11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7">
        <v>10000000</v>
      </c>
      <c r="O117">
        <v>0</v>
      </c>
      <c r="P117">
        <v>0</v>
      </c>
      <c r="Q117">
        <v>10000000</v>
      </c>
      <c r="R117">
        <v>0</v>
      </c>
      <c r="S117">
        <v>10000000</v>
      </c>
      <c r="T117">
        <v>11000000</v>
      </c>
      <c r="U117">
        <v>0</v>
      </c>
      <c r="AH117" t="s">
        <v>188</v>
      </c>
      <c r="AI117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7">
        <v>0</v>
      </c>
      <c r="AK117">
        <v>0</v>
      </c>
      <c r="AL117">
        <v>0</v>
      </c>
      <c r="AM117">
        <v>0</v>
      </c>
      <c r="AN117">
        <v>14000000</v>
      </c>
      <c r="AO117">
        <v>14000000</v>
      </c>
      <c r="AP117">
        <v>15400000</v>
      </c>
      <c r="AQ117">
        <v>2100000</v>
      </c>
    </row>
    <row r="118" spans="1:43" x14ac:dyDescent="0.3">
      <c r="A118" t="s">
        <v>134</v>
      </c>
      <c r="B11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8">
        <v>10000000</v>
      </c>
      <c r="D118">
        <v>0</v>
      </c>
      <c r="E118">
        <v>0</v>
      </c>
      <c r="F118">
        <v>10000000</v>
      </c>
      <c r="G118">
        <v>0</v>
      </c>
      <c r="H118">
        <v>10000000</v>
      </c>
      <c r="I118">
        <v>11000000</v>
      </c>
      <c r="J118">
        <v>0</v>
      </c>
      <c r="L118" t="s">
        <v>96</v>
      </c>
      <c r="M11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8">
        <v>9000000</v>
      </c>
      <c r="O118">
        <v>0</v>
      </c>
      <c r="P118">
        <v>0</v>
      </c>
      <c r="Q118">
        <v>9000000</v>
      </c>
      <c r="R118">
        <v>0</v>
      </c>
      <c r="S118">
        <v>9000000</v>
      </c>
      <c r="T118">
        <v>9900000</v>
      </c>
      <c r="U118">
        <v>1350000</v>
      </c>
      <c r="AH118" t="s">
        <v>473</v>
      </c>
      <c r="AI118" t="b">
        <f>IF(ISNUMBER(SEARCH("프라다", 메종20[[#This Row],[브랜드]])), "프라다", IF(ISNUMBER(SEARCH("에르메스", 메종20[[#This Row],[브랜드]])), "에르메스", IF(ISNUMBER(SEARCH("디올", 메종20[[#This Row],[브랜드]])), "디올", IF(ISNUMBER(SEARCH("샤넬",메종20[[#This Row],[브랜드]])), "샤넬", IF(ISNUMBER(SEARCH("루이비통", 메종20[[#This Row],[브랜드]])), "루이비통")))))</f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</row>
    <row r="119" spans="1:43" x14ac:dyDescent="0.3">
      <c r="A119" t="s">
        <v>216</v>
      </c>
      <c r="B11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19">
        <v>10000000</v>
      </c>
      <c r="D119">
        <v>0</v>
      </c>
      <c r="E119">
        <v>-4400000</v>
      </c>
      <c r="F119">
        <v>5600000</v>
      </c>
      <c r="G119">
        <v>0</v>
      </c>
      <c r="H119">
        <v>5600000</v>
      </c>
      <c r="I119">
        <v>6160000</v>
      </c>
      <c r="J119">
        <v>0</v>
      </c>
      <c r="L119" t="s">
        <v>253</v>
      </c>
      <c r="M11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19">
        <v>8900000</v>
      </c>
      <c r="O119">
        <v>0</v>
      </c>
      <c r="P119">
        <v>0</v>
      </c>
      <c r="Q119">
        <v>8900000</v>
      </c>
      <c r="R119">
        <v>0</v>
      </c>
      <c r="S119">
        <v>8900000</v>
      </c>
      <c r="T119">
        <v>9790000</v>
      </c>
      <c r="U119">
        <v>3150000</v>
      </c>
    </row>
    <row r="120" spans="1:43" x14ac:dyDescent="0.3">
      <c r="A120" t="s">
        <v>30</v>
      </c>
      <c r="B12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0">
        <v>10000000</v>
      </c>
      <c r="D120">
        <v>0</v>
      </c>
      <c r="E120">
        <v>0</v>
      </c>
      <c r="F120">
        <v>10000000</v>
      </c>
      <c r="G120">
        <v>0</v>
      </c>
      <c r="H120">
        <v>10000000</v>
      </c>
      <c r="I120">
        <v>11000000</v>
      </c>
      <c r="J120">
        <v>0</v>
      </c>
      <c r="L120" t="s">
        <v>254</v>
      </c>
      <c r="M12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0">
        <v>8500000</v>
      </c>
      <c r="O120">
        <v>0</v>
      </c>
      <c r="P120">
        <v>1500000</v>
      </c>
      <c r="Q120">
        <v>10000000</v>
      </c>
      <c r="R120">
        <v>0</v>
      </c>
      <c r="S120">
        <v>10000000</v>
      </c>
      <c r="T120">
        <v>11000000</v>
      </c>
      <c r="U120">
        <v>0</v>
      </c>
    </row>
    <row r="121" spans="1:43" x14ac:dyDescent="0.3">
      <c r="A121" t="s">
        <v>113</v>
      </c>
      <c r="B12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1">
        <v>10000000</v>
      </c>
      <c r="D121">
        <v>0</v>
      </c>
      <c r="E121">
        <v>0</v>
      </c>
      <c r="F121">
        <v>10000000</v>
      </c>
      <c r="G121">
        <v>0</v>
      </c>
      <c r="H121">
        <v>10000000</v>
      </c>
      <c r="I121">
        <v>11000000</v>
      </c>
      <c r="J121">
        <v>1500000</v>
      </c>
      <c r="L121" t="s">
        <v>256</v>
      </c>
      <c r="M12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1">
        <v>8000000</v>
      </c>
      <c r="O121">
        <v>-8000000</v>
      </c>
      <c r="P121">
        <v>0</v>
      </c>
      <c r="Q121">
        <v>0</v>
      </c>
      <c r="R121">
        <v>8000000</v>
      </c>
      <c r="S121">
        <v>8000000</v>
      </c>
      <c r="T121">
        <v>8800000</v>
      </c>
      <c r="U121">
        <v>0</v>
      </c>
    </row>
    <row r="122" spans="1:43" x14ac:dyDescent="0.3">
      <c r="A122" t="s">
        <v>139</v>
      </c>
      <c r="B12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2">
        <v>10000000</v>
      </c>
      <c r="D122">
        <v>0</v>
      </c>
      <c r="E122">
        <v>0</v>
      </c>
      <c r="F122">
        <v>10000000</v>
      </c>
      <c r="G122">
        <v>0</v>
      </c>
      <c r="H122">
        <v>10000000</v>
      </c>
      <c r="I122">
        <v>11000000</v>
      </c>
      <c r="J122">
        <v>1500000</v>
      </c>
      <c r="L122" t="s">
        <v>65</v>
      </c>
      <c r="M12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2">
        <v>8000000</v>
      </c>
      <c r="O122">
        <v>0</v>
      </c>
      <c r="P122">
        <v>0</v>
      </c>
      <c r="Q122">
        <v>8000000</v>
      </c>
      <c r="R122">
        <v>0</v>
      </c>
      <c r="S122">
        <v>8000000</v>
      </c>
      <c r="T122">
        <v>8800000</v>
      </c>
      <c r="U122">
        <v>1200000</v>
      </c>
    </row>
    <row r="123" spans="1:43" x14ac:dyDescent="0.3">
      <c r="A123" t="s">
        <v>68</v>
      </c>
      <c r="B12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3">
        <v>10000000</v>
      </c>
      <c r="D123">
        <v>0</v>
      </c>
      <c r="E123">
        <v>-1600000</v>
      </c>
      <c r="F123">
        <v>8400000</v>
      </c>
      <c r="G123">
        <v>0</v>
      </c>
      <c r="H123">
        <v>8400000</v>
      </c>
      <c r="I123">
        <v>9240000</v>
      </c>
      <c r="J123">
        <v>0</v>
      </c>
      <c r="L123" t="s">
        <v>257</v>
      </c>
      <c r="M12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3">
        <v>8000000</v>
      </c>
      <c r="O123">
        <v>0</v>
      </c>
      <c r="P123">
        <v>0</v>
      </c>
      <c r="Q123">
        <v>8000000</v>
      </c>
      <c r="R123">
        <v>0</v>
      </c>
      <c r="S123">
        <v>8000000</v>
      </c>
      <c r="T123">
        <v>8800000</v>
      </c>
      <c r="U123">
        <v>1200000</v>
      </c>
    </row>
    <row r="124" spans="1:43" x14ac:dyDescent="0.3">
      <c r="A124" t="s">
        <v>224</v>
      </c>
      <c r="B12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4">
        <v>10000000</v>
      </c>
      <c r="D124">
        <v>0</v>
      </c>
      <c r="E124">
        <v>-3000000</v>
      </c>
      <c r="F124">
        <v>7000000</v>
      </c>
      <c r="G124">
        <v>0</v>
      </c>
      <c r="H124">
        <v>7000000</v>
      </c>
      <c r="I124">
        <v>7700000</v>
      </c>
      <c r="J124">
        <v>0</v>
      </c>
      <c r="L124" t="s">
        <v>261</v>
      </c>
      <c r="M12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4">
        <v>8000000</v>
      </c>
      <c r="O124">
        <v>0</v>
      </c>
      <c r="P124">
        <v>-1200000</v>
      </c>
      <c r="Q124">
        <v>6800000</v>
      </c>
      <c r="R124">
        <v>0</v>
      </c>
      <c r="S124">
        <v>6800000</v>
      </c>
      <c r="T124">
        <v>7480000</v>
      </c>
      <c r="U124">
        <v>0</v>
      </c>
    </row>
    <row r="125" spans="1:43" x14ac:dyDescent="0.3">
      <c r="A125" t="s">
        <v>231</v>
      </c>
      <c r="B12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5">
        <v>10000000</v>
      </c>
      <c r="D125">
        <v>0</v>
      </c>
      <c r="E125">
        <v>0</v>
      </c>
      <c r="F125">
        <v>10000000</v>
      </c>
      <c r="G125">
        <v>0</v>
      </c>
      <c r="H125">
        <v>10000000</v>
      </c>
      <c r="I125">
        <v>11000000</v>
      </c>
      <c r="J125">
        <v>0</v>
      </c>
      <c r="L125" t="s">
        <v>263</v>
      </c>
      <c r="M12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5">
        <v>8000000</v>
      </c>
      <c r="O125">
        <v>0</v>
      </c>
      <c r="P125">
        <v>0</v>
      </c>
      <c r="Q125">
        <v>8000000</v>
      </c>
      <c r="R125">
        <v>0</v>
      </c>
      <c r="S125">
        <v>8000000</v>
      </c>
      <c r="T125">
        <v>8800000</v>
      </c>
      <c r="U125">
        <v>0</v>
      </c>
    </row>
    <row r="126" spans="1:43" x14ac:dyDescent="0.3">
      <c r="A126" t="s">
        <v>143</v>
      </c>
      <c r="B12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6">
        <v>10000000</v>
      </c>
      <c r="D126">
        <v>0</v>
      </c>
      <c r="E126">
        <v>0</v>
      </c>
      <c r="F126">
        <v>10000000</v>
      </c>
      <c r="G126">
        <v>0</v>
      </c>
      <c r="H126">
        <v>10000000</v>
      </c>
      <c r="I126">
        <v>11000000</v>
      </c>
      <c r="J126">
        <v>0</v>
      </c>
      <c r="L126" t="s">
        <v>265</v>
      </c>
      <c r="M12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6">
        <v>8000000</v>
      </c>
      <c r="O126">
        <v>0</v>
      </c>
      <c r="P126">
        <v>0</v>
      </c>
      <c r="Q126">
        <v>8000000</v>
      </c>
      <c r="R126">
        <v>0</v>
      </c>
      <c r="S126">
        <v>8000000</v>
      </c>
      <c r="T126">
        <v>8800000</v>
      </c>
      <c r="U126">
        <v>0</v>
      </c>
    </row>
    <row r="127" spans="1:43" x14ac:dyDescent="0.3">
      <c r="A127" t="s">
        <v>180</v>
      </c>
      <c r="B12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7">
        <v>10000000</v>
      </c>
      <c r="D127">
        <v>-10000000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L127" t="s">
        <v>101</v>
      </c>
      <c r="M12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7">
        <v>8000000</v>
      </c>
      <c r="O127">
        <v>0</v>
      </c>
      <c r="P127">
        <v>0</v>
      </c>
      <c r="Q127">
        <v>8000000</v>
      </c>
      <c r="R127">
        <v>0</v>
      </c>
      <c r="S127">
        <v>8000000</v>
      </c>
      <c r="T127">
        <v>8800000</v>
      </c>
      <c r="U127">
        <v>0</v>
      </c>
    </row>
    <row r="128" spans="1:43" x14ac:dyDescent="0.3">
      <c r="A128" t="s">
        <v>233</v>
      </c>
      <c r="B12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8">
        <v>10000000</v>
      </c>
      <c r="D128">
        <v>0</v>
      </c>
      <c r="E128">
        <v>-3600000</v>
      </c>
      <c r="F128">
        <v>6400000</v>
      </c>
      <c r="G128">
        <v>0</v>
      </c>
      <c r="H128">
        <v>6400000</v>
      </c>
      <c r="I128">
        <v>7040000</v>
      </c>
      <c r="J128">
        <v>750000</v>
      </c>
      <c r="L128" t="s">
        <v>268</v>
      </c>
      <c r="M12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8">
        <v>7400000</v>
      </c>
      <c r="O128">
        <v>0</v>
      </c>
      <c r="P128">
        <v>-600000</v>
      </c>
      <c r="Q128">
        <v>6800000</v>
      </c>
      <c r="R128">
        <v>0</v>
      </c>
      <c r="S128">
        <v>6800000</v>
      </c>
      <c r="T128">
        <v>7480000</v>
      </c>
      <c r="U128">
        <v>0</v>
      </c>
    </row>
    <row r="129" spans="1:21" x14ac:dyDescent="0.3">
      <c r="A129" t="s">
        <v>234</v>
      </c>
      <c r="B12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29">
        <v>10000000</v>
      </c>
      <c r="D129">
        <v>0</v>
      </c>
      <c r="E129">
        <v>-1000000</v>
      </c>
      <c r="F129">
        <v>9000000</v>
      </c>
      <c r="G129">
        <v>0</v>
      </c>
      <c r="H129">
        <v>9000000</v>
      </c>
      <c r="I129">
        <v>9900000</v>
      </c>
      <c r="J129">
        <v>0</v>
      </c>
      <c r="L129" t="s">
        <v>270</v>
      </c>
      <c r="M12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29">
        <v>7000000</v>
      </c>
      <c r="O129">
        <v>0</v>
      </c>
      <c r="P129">
        <v>0</v>
      </c>
      <c r="Q129">
        <v>7000000</v>
      </c>
      <c r="R129">
        <v>0</v>
      </c>
      <c r="S129">
        <v>7000000</v>
      </c>
      <c r="T129">
        <v>7700000</v>
      </c>
      <c r="U129">
        <v>1050000</v>
      </c>
    </row>
    <row r="130" spans="1:21" x14ac:dyDescent="0.3">
      <c r="A130" t="s">
        <v>235</v>
      </c>
      <c r="B13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0">
        <v>10000000</v>
      </c>
      <c r="D130">
        <v>0</v>
      </c>
      <c r="E130">
        <v>-3600000</v>
      </c>
      <c r="F130">
        <v>6400000</v>
      </c>
      <c r="G130">
        <v>0</v>
      </c>
      <c r="H130">
        <v>6400000</v>
      </c>
      <c r="I130">
        <v>7040000</v>
      </c>
      <c r="J130">
        <v>0</v>
      </c>
      <c r="L130" t="s">
        <v>271</v>
      </c>
      <c r="M13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0">
        <v>7000000</v>
      </c>
      <c r="O130">
        <v>0</v>
      </c>
      <c r="P130">
        <v>0</v>
      </c>
      <c r="Q130">
        <v>7000000</v>
      </c>
      <c r="R130">
        <v>0</v>
      </c>
      <c r="S130">
        <v>7000000</v>
      </c>
      <c r="T130">
        <v>7700000</v>
      </c>
      <c r="U130">
        <v>1050000</v>
      </c>
    </row>
    <row r="131" spans="1:21" x14ac:dyDescent="0.3">
      <c r="A131" t="s">
        <v>236</v>
      </c>
      <c r="B13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1">
        <v>10000000</v>
      </c>
      <c r="D131">
        <v>0</v>
      </c>
      <c r="E131">
        <v>0</v>
      </c>
      <c r="F131">
        <v>10000000</v>
      </c>
      <c r="G131">
        <v>0</v>
      </c>
      <c r="H131">
        <v>10000000</v>
      </c>
      <c r="I131">
        <v>11000000</v>
      </c>
      <c r="J131">
        <v>1500000</v>
      </c>
      <c r="L131" t="s">
        <v>200</v>
      </c>
      <c r="M13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1">
        <v>7000000</v>
      </c>
      <c r="O131">
        <v>0</v>
      </c>
      <c r="P131">
        <v>0</v>
      </c>
      <c r="Q131">
        <v>7000000</v>
      </c>
      <c r="R131">
        <v>0</v>
      </c>
      <c r="S131">
        <v>7000000</v>
      </c>
      <c r="T131">
        <v>7700000</v>
      </c>
      <c r="U131">
        <v>0</v>
      </c>
    </row>
    <row r="132" spans="1:21" x14ac:dyDescent="0.3">
      <c r="A132" t="s">
        <v>243</v>
      </c>
      <c r="B13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2">
        <v>9700000</v>
      </c>
      <c r="D132">
        <v>0</v>
      </c>
      <c r="E132">
        <v>-3600000</v>
      </c>
      <c r="F132">
        <v>6100000</v>
      </c>
      <c r="G132">
        <v>0</v>
      </c>
      <c r="H132">
        <v>6100000</v>
      </c>
      <c r="I132">
        <v>6710000</v>
      </c>
      <c r="J132">
        <v>0</v>
      </c>
      <c r="L132" t="s">
        <v>277</v>
      </c>
      <c r="M13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2">
        <v>6500000</v>
      </c>
      <c r="O132">
        <v>-6500000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3">
      <c r="A133" t="s">
        <v>245</v>
      </c>
      <c r="B13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3">
        <v>9000000</v>
      </c>
      <c r="D133">
        <v>0</v>
      </c>
      <c r="E133">
        <v>0</v>
      </c>
      <c r="F133">
        <v>9000000</v>
      </c>
      <c r="G133">
        <v>0</v>
      </c>
      <c r="H133">
        <v>9000000</v>
      </c>
      <c r="I133">
        <v>9900000</v>
      </c>
      <c r="J133">
        <v>0</v>
      </c>
      <c r="L133" t="s">
        <v>280</v>
      </c>
      <c r="M13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3">
        <v>6000000</v>
      </c>
      <c r="O133">
        <v>0</v>
      </c>
      <c r="P133">
        <v>0</v>
      </c>
      <c r="Q133">
        <v>6000000</v>
      </c>
      <c r="R133">
        <v>0</v>
      </c>
      <c r="S133">
        <v>6000000</v>
      </c>
      <c r="T133">
        <v>6600000</v>
      </c>
      <c r="U133">
        <v>0</v>
      </c>
    </row>
    <row r="134" spans="1:21" x14ac:dyDescent="0.3">
      <c r="A134" t="s">
        <v>97</v>
      </c>
      <c r="B13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4">
        <v>9000000</v>
      </c>
      <c r="D134">
        <v>0</v>
      </c>
      <c r="E134">
        <v>0</v>
      </c>
      <c r="F134">
        <v>9000000</v>
      </c>
      <c r="G134">
        <v>0</v>
      </c>
      <c r="H134">
        <v>9000000</v>
      </c>
      <c r="I134">
        <v>9900000</v>
      </c>
      <c r="J134">
        <v>0</v>
      </c>
      <c r="L134" t="s">
        <v>282</v>
      </c>
      <c r="M13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4">
        <v>6000000</v>
      </c>
      <c r="O134">
        <v>0</v>
      </c>
      <c r="P134">
        <v>0</v>
      </c>
      <c r="Q134">
        <v>6000000</v>
      </c>
      <c r="R134">
        <v>0</v>
      </c>
      <c r="S134">
        <v>6000000</v>
      </c>
      <c r="T134">
        <v>6600000</v>
      </c>
      <c r="U134">
        <v>0</v>
      </c>
    </row>
    <row r="135" spans="1:21" x14ac:dyDescent="0.3">
      <c r="A135" t="s">
        <v>247</v>
      </c>
      <c r="B13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5">
        <v>9000000</v>
      </c>
      <c r="D135">
        <v>0</v>
      </c>
      <c r="E135">
        <v>0</v>
      </c>
      <c r="F135">
        <v>9000000</v>
      </c>
      <c r="G135">
        <v>0</v>
      </c>
      <c r="H135">
        <v>9000000</v>
      </c>
      <c r="I135">
        <v>9900000</v>
      </c>
      <c r="J135">
        <v>0</v>
      </c>
      <c r="L135" t="s">
        <v>283</v>
      </c>
      <c r="M13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5">
        <v>6000000</v>
      </c>
      <c r="O135">
        <v>0</v>
      </c>
      <c r="P135">
        <v>0</v>
      </c>
      <c r="Q135">
        <v>6000000</v>
      </c>
      <c r="R135">
        <v>0</v>
      </c>
      <c r="S135">
        <v>6000000</v>
      </c>
      <c r="T135">
        <v>6600000</v>
      </c>
      <c r="U135">
        <v>0</v>
      </c>
    </row>
    <row r="136" spans="1:21" x14ac:dyDescent="0.3">
      <c r="A136" t="s">
        <v>132</v>
      </c>
      <c r="B13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6">
        <v>9000000</v>
      </c>
      <c r="D136">
        <v>0</v>
      </c>
      <c r="E136">
        <v>-9000000</v>
      </c>
      <c r="F136">
        <v>0</v>
      </c>
      <c r="G136">
        <v>11000000</v>
      </c>
      <c r="H136">
        <v>11000000</v>
      </c>
      <c r="I136">
        <v>0</v>
      </c>
      <c r="J136">
        <v>0</v>
      </c>
      <c r="L136" t="s">
        <v>77</v>
      </c>
      <c r="M13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6">
        <v>6000000</v>
      </c>
      <c r="O136">
        <v>0</v>
      </c>
      <c r="P136">
        <v>-1000000</v>
      </c>
      <c r="Q136">
        <v>5000000</v>
      </c>
      <c r="R136">
        <v>6000000</v>
      </c>
      <c r="S136">
        <v>11000000</v>
      </c>
      <c r="T136">
        <v>12100000</v>
      </c>
      <c r="U136">
        <v>0</v>
      </c>
    </row>
    <row r="137" spans="1:21" x14ac:dyDescent="0.3">
      <c r="A137" t="s">
        <v>252</v>
      </c>
      <c r="B13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7">
        <v>9000000</v>
      </c>
      <c r="D137">
        <v>0</v>
      </c>
      <c r="E137">
        <v>0</v>
      </c>
      <c r="F137">
        <v>9000000</v>
      </c>
      <c r="G137">
        <v>0</v>
      </c>
      <c r="H137">
        <v>9000000</v>
      </c>
      <c r="I137">
        <v>9899999</v>
      </c>
      <c r="J137">
        <v>1350001</v>
      </c>
      <c r="L137" t="s">
        <v>284</v>
      </c>
      <c r="M13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7">
        <v>6000000</v>
      </c>
      <c r="O137">
        <v>0</v>
      </c>
      <c r="P137">
        <v>0</v>
      </c>
      <c r="Q137">
        <v>6000000</v>
      </c>
      <c r="R137">
        <v>0</v>
      </c>
      <c r="S137">
        <v>6000000</v>
      </c>
      <c r="T137">
        <v>6600000</v>
      </c>
      <c r="U137">
        <v>0</v>
      </c>
    </row>
    <row r="138" spans="1:21" x14ac:dyDescent="0.3">
      <c r="A138" t="s">
        <v>259</v>
      </c>
      <c r="B13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38">
        <v>8000000</v>
      </c>
      <c r="D138">
        <v>0</v>
      </c>
      <c r="E138">
        <v>0</v>
      </c>
      <c r="F138">
        <v>8000000</v>
      </c>
      <c r="G138">
        <v>0</v>
      </c>
      <c r="H138">
        <v>8000000</v>
      </c>
      <c r="I138">
        <v>8800000</v>
      </c>
      <c r="J138">
        <v>0</v>
      </c>
      <c r="L138" t="s">
        <v>287</v>
      </c>
      <c r="M13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8">
        <v>6000000</v>
      </c>
      <c r="O138">
        <v>0</v>
      </c>
      <c r="P138">
        <v>0</v>
      </c>
      <c r="Q138">
        <v>6000000</v>
      </c>
      <c r="R138">
        <v>0</v>
      </c>
      <c r="S138">
        <v>6000000</v>
      </c>
      <c r="T138">
        <v>6600000</v>
      </c>
      <c r="U138">
        <v>0</v>
      </c>
    </row>
    <row r="139" spans="1:21" x14ac:dyDescent="0.3">
      <c r="A139" t="s">
        <v>130</v>
      </c>
      <c r="B139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샤넬</v>
      </c>
      <c r="C139">
        <v>8000000</v>
      </c>
      <c r="D139">
        <v>-8000000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L139" t="s">
        <v>291</v>
      </c>
      <c r="M13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39">
        <v>5500000</v>
      </c>
      <c r="O139">
        <v>0</v>
      </c>
      <c r="P139">
        <v>0</v>
      </c>
      <c r="Q139">
        <v>5500000</v>
      </c>
      <c r="R139">
        <v>0</v>
      </c>
      <c r="S139">
        <v>5500000</v>
      </c>
      <c r="T139">
        <v>6050000</v>
      </c>
      <c r="U139">
        <v>0</v>
      </c>
    </row>
    <row r="140" spans="1:21" x14ac:dyDescent="0.3">
      <c r="A140" t="s">
        <v>264</v>
      </c>
      <c r="B14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0">
        <v>8000000</v>
      </c>
      <c r="D140">
        <v>-8000000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L140" t="s">
        <v>293</v>
      </c>
      <c r="M14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0">
        <v>5000000</v>
      </c>
      <c r="O140">
        <v>0</v>
      </c>
      <c r="P140">
        <v>0</v>
      </c>
      <c r="Q140">
        <v>5000000</v>
      </c>
      <c r="R140">
        <v>0</v>
      </c>
      <c r="S140">
        <v>5000000</v>
      </c>
      <c r="T140">
        <v>5500000</v>
      </c>
      <c r="U140">
        <v>0</v>
      </c>
    </row>
    <row r="141" spans="1:21" x14ac:dyDescent="0.3">
      <c r="A141" t="s">
        <v>158</v>
      </c>
      <c r="B14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1">
        <v>8000000</v>
      </c>
      <c r="D141">
        <v>0</v>
      </c>
      <c r="E141">
        <v>-3600000</v>
      </c>
      <c r="F141">
        <v>4400000</v>
      </c>
      <c r="G141">
        <v>0</v>
      </c>
      <c r="H141">
        <v>4400000</v>
      </c>
      <c r="I141">
        <v>4840000</v>
      </c>
      <c r="J141">
        <v>0</v>
      </c>
      <c r="L141" t="s">
        <v>296</v>
      </c>
      <c r="M14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1">
        <v>5000000</v>
      </c>
      <c r="O141">
        <v>0</v>
      </c>
      <c r="P141">
        <v>0</v>
      </c>
      <c r="Q141">
        <v>5000000</v>
      </c>
      <c r="R141">
        <v>0</v>
      </c>
      <c r="S141">
        <v>5000000</v>
      </c>
      <c r="T141">
        <v>5500000</v>
      </c>
      <c r="U141">
        <v>750000</v>
      </c>
    </row>
    <row r="142" spans="1:21" x14ac:dyDescent="0.3">
      <c r="A142" t="s">
        <v>210</v>
      </c>
      <c r="B14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2">
        <v>7500000</v>
      </c>
      <c r="D142">
        <v>0</v>
      </c>
      <c r="E142">
        <v>0</v>
      </c>
      <c r="F142">
        <v>7500000</v>
      </c>
      <c r="G142">
        <v>0</v>
      </c>
      <c r="H142">
        <v>7500000</v>
      </c>
      <c r="I142">
        <v>8250000</v>
      </c>
      <c r="J142">
        <v>1650000</v>
      </c>
      <c r="L142" t="s">
        <v>180</v>
      </c>
      <c r="M14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2">
        <v>5000000</v>
      </c>
      <c r="O142">
        <v>0</v>
      </c>
      <c r="P142">
        <v>-4500000</v>
      </c>
      <c r="Q142">
        <v>500000</v>
      </c>
      <c r="R142">
        <v>10000000</v>
      </c>
      <c r="S142">
        <v>10500000</v>
      </c>
      <c r="T142">
        <v>11550000</v>
      </c>
      <c r="U142">
        <v>0</v>
      </c>
    </row>
    <row r="143" spans="1:21" x14ac:dyDescent="0.3">
      <c r="A143" t="s">
        <v>65</v>
      </c>
      <c r="B14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3">
        <v>7000000</v>
      </c>
      <c r="D143">
        <v>0</v>
      </c>
      <c r="E143">
        <v>0</v>
      </c>
      <c r="F143">
        <v>7000000</v>
      </c>
      <c r="G143">
        <v>0</v>
      </c>
      <c r="H143">
        <v>7000000</v>
      </c>
      <c r="I143">
        <v>7700000</v>
      </c>
      <c r="J143">
        <v>1050000</v>
      </c>
      <c r="L143" t="s">
        <v>75</v>
      </c>
      <c r="M14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3">
        <v>5000000</v>
      </c>
      <c r="O143">
        <v>0</v>
      </c>
      <c r="P143">
        <v>0</v>
      </c>
      <c r="Q143">
        <v>5000000</v>
      </c>
      <c r="R143">
        <v>0</v>
      </c>
      <c r="S143">
        <v>5000000</v>
      </c>
      <c r="T143">
        <v>5500000</v>
      </c>
      <c r="U143">
        <v>0</v>
      </c>
    </row>
    <row r="144" spans="1:21" x14ac:dyDescent="0.3">
      <c r="A144" t="s">
        <v>272</v>
      </c>
      <c r="B14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4">
        <v>7000000</v>
      </c>
      <c r="D144">
        <v>-7000000</v>
      </c>
      <c r="E144">
        <v>0</v>
      </c>
      <c r="F144">
        <v>0</v>
      </c>
      <c r="G144">
        <v>7000000</v>
      </c>
      <c r="H144">
        <v>7000000</v>
      </c>
      <c r="I144">
        <v>7700000</v>
      </c>
      <c r="J144">
        <v>2100000</v>
      </c>
      <c r="L144" t="s">
        <v>306</v>
      </c>
      <c r="M14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4">
        <v>4000000</v>
      </c>
      <c r="O144">
        <v>0</v>
      </c>
      <c r="P144">
        <v>0</v>
      </c>
      <c r="Q144">
        <v>4000000</v>
      </c>
      <c r="R144">
        <v>0</v>
      </c>
      <c r="S144">
        <v>4000000</v>
      </c>
      <c r="T144">
        <v>4400000</v>
      </c>
      <c r="U144">
        <v>0</v>
      </c>
    </row>
    <row r="145" spans="1:21" x14ac:dyDescent="0.3">
      <c r="A145" t="s">
        <v>49</v>
      </c>
      <c r="B14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5">
        <v>7000000</v>
      </c>
      <c r="D145">
        <v>0</v>
      </c>
      <c r="E145">
        <v>-7000000</v>
      </c>
      <c r="F145">
        <v>0</v>
      </c>
      <c r="G145">
        <v>0</v>
      </c>
      <c r="H145">
        <v>0</v>
      </c>
      <c r="I145">
        <v>0</v>
      </c>
      <c r="J145">
        <v>0</v>
      </c>
      <c r="L145" t="s">
        <v>308</v>
      </c>
      <c r="M14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5">
        <v>4000000</v>
      </c>
      <c r="O145">
        <v>0</v>
      </c>
      <c r="P145">
        <v>0</v>
      </c>
      <c r="Q145">
        <v>4000000</v>
      </c>
      <c r="R145">
        <v>0</v>
      </c>
      <c r="S145">
        <v>4000000</v>
      </c>
      <c r="T145">
        <v>4400000</v>
      </c>
      <c r="U145">
        <v>0</v>
      </c>
    </row>
    <row r="146" spans="1:21" x14ac:dyDescent="0.3">
      <c r="A146" t="s">
        <v>273</v>
      </c>
      <c r="B14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6">
        <v>7000000</v>
      </c>
      <c r="D146">
        <v>0</v>
      </c>
      <c r="E146">
        <v>0</v>
      </c>
      <c r="F146">
        <v>7000000</v>
      </c>
      <c r="G146">
        <v>0</v>
      </c>
      <c r="H146">
        <v>7000000</v>
      </c>
      <c r="I146">
        <v>7700000</v>
      </c>
      <c r="J146">
        <v>0</v>
      </c>
      <c r="L146" t="s">
        <v>239</v>
      </c>
      <c r="M14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6">
        <v>3900000</v>
      </c>
      <c r="O146">
        <v>0</v>
      </c>
      <c r="P146">
        <v>0</v>
      </c>
      <c r="Q146">
        <v>3900000</v>
      </c>
      <c r="R146">
        <v>0</v>
      </c>
      <c r="S146">
        <v>3900000</v>
      </c>
      <c r="T146">
        <v>4290000</v>
      </c>
      <c r="U146">
        <v>0</v>
      </c>
    </row>
    <row r="147" spans="1:21" x14ac:dyDescent="0.3">
      <c r="A147" t="s">
        <v>33</v>
      </c>
      <c r="B14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7">
        <v>7000000</v>
      </c>
      <c r="D147">
        <v>0</v>
      </c>
      <c r="E147">
        <v>0</v>
      </c>
      <c r="F147">
        <v>7000000</v>
      </c>
      <c r="G147">
        <v>0</v>
      </c>
      <c r="H147">
        <v>7000000</v>
      </c>
      <c r="I147">
        <v>7700000</v>
      </c>
      <c r="J147">
        <v>0</v>
      </c>
      <c r="L147" t="s">
        <v>290</v>
      </c>
      <c r="M14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7">
        <v>3500000</v>
      </c>
      <c r="O147">
        <v>0</v>
      </c>
      <c r="P147">
        <v>0</v>
      </c>
      <c r="Q147">
        <v>3500000</v>
      </c>
      <c r="R147">
        <v>0</v>
      </c>
      <c r="S147">
        <v>3500000</v>
      </c>
      <c r="T147">
        <v>3850000</v>
      </c>
      <c r="U147">
        <v>0</v>
      </c>
    </row>
    <row r="148" spans="1:21" x14ac:dyDescent="0.3">
      <c r="A148" t="s">
        <v>203</v>
      </c>
      <c r="B14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8">
        <v>7000000</v>
      </c>
      <c r="D148">
        <v>0</v>
      </c>
      <c r="E148">
        <v>0</v>
      </c>
      <c r="F148">
        <v>7000000</v>
      </c>
      <c r="G148">
        <v>0</v>
      </c>
      <c r="H148">
        <v>7000000</v>
      </c>
      <c r="I148">
        <v>7700000</v>
      </c>
      <c r="J148">
        <v>0</v>
      </c>
      <c r="L148" t="s">
        <v>210</v>
      </c>
      <c r="M14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8">
        <v>3500000</v>
      </c>
      <c r="O148">
        <v>0</v>
      </c>
      <c r="P148">
        <v>0</v>
      </c>
      <c r="Q148">
        <v>3500000</v>
      </c>
      <c r="R148">
        <v>0</v>
      </c>
      <c r="S148">
        <v>3500000</v>
      </c>
      <c r="T148">
        <v>3850000</v>
      </c>
      <c r="U148">
        <v>0</v>
      </c>
    </row>
    <row r="149" spans="1:21" x14ac:dyDescent="0.3">
      <c r="A149" t="s">
        <v>278</v>
      </c>
      <c r="B14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49">
        <v>6375000</v>
      </c>
      <c r="D149">
        <v>0</v>
      </c>
      <c r="E149">
        <v>1125000</v>
      </c>
      <c r="F149">
        <v>7500000</v>
      </c>
      <c r="G149">
        <v>0</v>
      </c>
      <c r="H149">
        <v>7500000</v>
      </c>
      <c r="I149">
        <v>8250000</v>
      </c>
      <c r="J149">
        <v>1125000</v>
      </c>
      <c r="L149" t="s">
        <v>314</v>
      </c>
      <c r="M14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49">
        <v>3400000</v>
      </c>
      <c r="O149">
        <v>0</v>
      </c>
      <c r="P149">
        <v>0</v>
      </c>
      <c r="Q149">
        <v>3400000</v>
      </c>
      <c r="R149">
        <v>0</v>
      </c>
      <c r="S149">
        <v>3400000</v>
      </c>
      <c r="T149">
        <v>3740000</v>
      </c>
      <c r="U149">
        <v>0</v>
      </c>
    </row>
    <row r="150" spans="1:21" x14ac:dyDescent="0.3">
      <c r="A150" t="s">
        <v>281</v>
      </c>
      <c r="B15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0">
        <v>6000000</v>
      </c>
      <c r="D150">
        <v>0</v>
      </c>
      <c r="E150">
        <v>0</v>
      </c>
      <c r="F150">
        <v>6000000</v>
      </c>
      <c r="G150">
        <v>0</v>
      </c>
      <c r="H150">
        <v>6000000</v>
      </c>
      <c r="I150">
        <v>6600000</v>
      </c>
      <c r="J150">
        <v>900000</v>
      </c>
      <c r="L150" t="s">
        <v>315</v>
      </c>
      <c r="M15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0">
        <v>3200000</v>
      </c>
      <c r="O150">
        <v>0</v>
      </c>
      <c r="P150">
        <v>0</v>
      </c>
      <c r="Q150">
        <v>3200000</v>
      </c>
      <c r="R150">
        <v>0</v>
      </c>
      <c r="S150">
        <v>3200000</v>
      </c>
      <c r="T150">
        <v>3520000</v>
      </c>
      <c r="U150">
        <v>480000</v>
      </c>
    </row>
    <row r="151" spans="1:21" x14ac:dyDescent="0.3">
      <c r="A151" t="s">
        <v>248</v>
      </c>
      <c r="B15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1">
        <v>6000000</v>
      </c>
      <c r="D151">
        <v>0</v>
      </c>
      <c r="E151">
        <v>0</v>
      </c>
      <c r="F151">
        <v>6000000</v>
      </c>
      <c r="G151">
        <v>0</v>
      </c>
      <c r="H151">
        <v>6000000</v>
      </c>
      <c r="I151">
        <v>6600000</v>
      </c>
      <c r="J151">
        <v>900000</v>
      </c>
      <c r="L151" t="s">
        <v>317</v>
      </c>
      <c r="M15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1">
        <v>3000000</v>
      </c>
      <c r="O151">
        <v>0</v>
      </c>
      <c r="P151">
        <v>0</v>
      </c>
      <c r="Q151">
        <v>3000000</v>
      </c>
      <c r="R151">
        <v>0</v>
      </c>
      <c r="S151">
        <v>3000000</v>
      </c>
      <c r="T151">
        <v>3300000</v>
      </c>
      <c r="U151">
        <v>0</v>
      </c>
    </row>
    <row r="152" spans="1:21" x14ac:dyDescent="0.3">
      <c r="A152" t="s">
        <v>165</v>
      </c>
      <c r="B15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2">
        <v>6000000</v>
      </c>
      <c r="D152">
        <v>0</v>
      </c>
      <c r="E152">
        <v>0</v>
      </c>
      <c r="F152">
        <v>6000000</v>
      </c>
      <c r="G152">
        <v>0</v>
      </c>
      <c r="H152">
        <v>6000000</v>
      </c>
      <c r="I152">
        <v>6600000</v>
      </c>
      <c r="J152">
        <v>0</v>
      </c>
      <c r="L152" t="s">
        <v>248</v>
      </c>
      <c r="M15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2">
        <v>3000000</v>
      </c>
      <c r="O152">
        <v>0</v>
      </c>
      <c r="P152">
        <v>0</v>
      </c>
      <c r="Q152">
        <v>3000000</v>
      </c>
      <c r="R152">
        <v>0</v>
      </c>
      <c r="S152">
        <v>3000000</v>
      </c>
      <c r="T152">
        <v>3300000</v>
      </c>
      <c r="U152">
        <v>450000</v>
      </c>
    </row>
    <row r="153" spans="1:21" x14ac:dyDescent="0.3">
      <c r="A153" t="s">
        <v>294</v>
      </c>
      <c r="B15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3">
        <v>5000000</v>
      </c>
      <c r="D153">
        <v>0</v>
      </c>
      <c r="E153">
        <v>-1000000</v>
      </c>
      <c r="F153">
        <v>4000000</v>
      </c>
      <c r="G153">
        <v>0</v>
      </c>
      <c r="H153">
        <v>4000000</v>
      </c>
      <c r="I153">
        <v>4400000</v>
      </c>
      <c r="J153">
        <v>0</v>
      </c>
      <c r="L153" t="s">
        <v>38</v>
      </c>
      <c r="M15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3">
        <v>3000000</v>
      </c>
      <c r="O153">
        <v>0</v>
      </c>
      <c r="P153">
        <v>0</v>
      </c>
      <c r="Q153">
        <v>3000000</v>
      </c>
      <c r="R153">
        <v>0</v>
      </c>
      <c r="S153">
        <v>3000000</v>
      </c>
      <c r="T153">
        <v>3300000</v>
      </c>
      <c r="U153">
        <v>0</v>
      </c>
    </row>
    <row r="154" spans="1:21" x14ac:dyDescent="0.3">
      <c r="A154" t="s">
        <v>61</v>
      </c>
      <c r="B15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4">
        <v>5000000</v>
      </c>
      <c r="D154">
        <v>0</v>
      </c>
      <c r="E154">
        <v>0</v>
      </c>
      <c r="F154">
        <v>5000000</v>
      </c>
      <c r="G154">
        <v>0</v>
      </c>
      <c r="H154">
        <v>5000000</v>
      </c>
      <c r="I154">
        <v>5500000</v>
      </c>
      <c r="J154">
        <v>750000</v>
      </c>
      <c r="L154" t="s">
        <v>322</v>
      </c>
      <c r="M15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4">
        <v>2500000</v>
      </c>
      <c r="O154">
        <v>0</v>
      </c>
      <c r="P154">
        <v>-500000</v>
      </c>
      <c r="Q154">
        <v>2000000</v>
      </c>
      <c r="R154">
        <v>0</v>
      </c>
      <c r="S154">
        <v>2000000</v>
      </c>
      <c r="T154">
        <v>2200000</v>
      </c>
      <c r="U154">
        <v>300000</v>
      </c>
    </row>
    <row r="155" spans="1:21" x14ac:dyDescent="0.3">
      <c r="A155" t="s">
        <v>116</v>
      </c>
      <c r="B155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샤넬</v>
      </c>
      <c r="C155">
        <v>5000000</v>
      </c>
      <c r="D155">
        <v>0</v>
      </c>
      <c r="E155">
        <v>0</v>
      </c>
      <c r="F155">
        <v>5000000</v>
      </c>
      <c r="G155">
        <v>0</v>
      </c>
      <c r="H155">
        <v>5000000</v>
      </c>
      <c r="I155">
        <v>5500000</v>
      </c>
      <c r="J155">
        <v>0</v>
      </c>
      <c r="L155" t="s">
        <v>327</v>
      </c>
      <c r="M15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5">
        <v>2125000</v>
      </c>
      <c r="O155">
        <v>0</v>
      </c>
      <c r="P155">
        <v>0</v>
      </c>
      <c r="Q155">
        <v>2125000</v>
      </c>
      <c r="R155">
        <v>0</v>
      </c>
      <c r="S155">
        <v>2125000</v>
      </c>
      <c r="T155">
        <v>2337500</v>
      </c>
      <c r="U155">
        <v>0</v>
      </c>
    </row>
    <row r="156" spans="1:21" x14ac:dyDescent="0.3">
      <c r="A156" t="s">
        <v>127</v>
      </c>
      <c r="B15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6">
        <v>5000000</v>
      </c>
      <c r="D156">
        <v>0</v>
      </c>
      <c r="E156">
        <v>0</v>
      </c>
      <c r="F156">
        <v>5000000</v>
      </c>
      <c r="G156">
        <v>0</v>
      </c>
      <c r="H156">
        <v>5000000</v>
      </c>
      <c r="I156">
        <v>5500000</v>
      </c>
      <c r="J156">
        <v>750000</v>
      </c>
      <c r="L156" t="s">
        <v>328</v>
      </c>
      <c r="M15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6">
        <v>2000000</v>
      </c>
      <c r="O156">
        <v>0</v>
      </c>
      <c r="P156">
        <v>0</v>
      </c>
      <c r="Q156">
        <v>2000000</v>
      </c>
      <c r="R156">
        <v>0</v>
      </c>
      <c r="S156">
        <v>2000000</v>
      </c>
      <c r="T156">
        <v>2200000</v>
      </c>
      <c r="U156">
        <v>300000</v>
      </c>
    </row>
    <row r="157" spans="1:21" x14ac:dyDescent="0.3">
      <c r="A157" t="s">
        <v>300</v>
      </c>
      <c r="B15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7">
        <v>5000000</v>
      </c>
      <c r="D157">
        <v>0</v>
      </c>
      <c r="E157">
        <v>0</v>
      </c>
      <c r="F157">
        <v>5000000</v>
      </c>
      <c r="G157">
        <v>0</v>
      </c>
      <c r="H157">
        <v>5000000</v>
      </c>
      <c r="I157">
        <v>5500000</v>
      </c>
      <c r="J157">
        <v>0</v>
      </c>
      <c r="L157" t="s">
        <v>304</v>
      </c>
      <c r="M15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7">
        <v>2000000</v>
      </c>
      <c r="O157">
        <v>0</v>
      </c>
      <c r="P157">
        <v>0</v>
      </c>
      <c r="Q157">
        <v>2000000</v>
      </c>
      <c r="R157">
        <v>0</v>
      </c>
      <c r="S157">
        <v>2000000</v>
      </c>
      <c r="T157">
        <v>2200000</v>
      </c>
      <c r="U157">
        <v>0</v>
      </c>
    </row>
    <row r="158" spans="1:21" x14ac:dyDescent="0.3">
      <c r="A158" t="s">
        <v>301</v>
      </c>
      <c r="B15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8">
        <v>5000000</v>
      </c>
      <c r="D158">
        <v>0</v>
      </c>
      <c r="E158">
        <v>0</v>
      </c>
      <c r="F158">
        <v>5000000</v>
      </c>
      <c r="G158">
        <v>0</v>
      </c>
      <c r="H158">
        <v>5000000</v>
      </c>
      <c r="I158">
        <v>5500000</v>
      </c>
      <c r="J158">
        <v>0</v>
      </c>
      <c r="L158" t="s">
        <v>329</v>
      </c>
      <c r="M15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8">
        <v>2000000</v>
      </c>
      <c r="O158">
        <v>0</v>
      </c>
      <c r="P158">
        <v>0</v>
      </c>
      <c r="Q158">
        <v>2000000</v>
      </c>
      <c r="R158">
        <v>0</v>
      </c>
      <c r="S158">
        <v>2000000</v>
      </c>
      <c r="T158">
        <v>2200000</v>
      </c>
      <c r="U158">
        <v>0</v>
      </c>
    </row>
    <row r="159" spans="1:21" x14ac:dyDescent="0.3">
      <c r="A159" t="s">
        <v>305</v>
      </c>
      <c r="B15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59">
        <v>4000000</v>
      </c>
      <c r="D159">
        <v>0</v>
      </c>
      <c r="E159">
        <v>0</v>
      </c>
      <c r="F159">
        <v>4000000</v>
      </c>
      <c r="G159">
        <v>0</v>
      </c>
      <c r="H159">
        <v>4000000</v>
      </c>
      <c r="I159">
        <v>4400000</v>
      </c>
      <c r="J159">
        <v>0</v>
      </c>
      <c r="L159" t="s">
        <v>310</v>
      </c>
      <c r="M15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59">
        <v>2000000</v>
      </c>
      <c r="O159">
        <v>0</v>
      </c>
      <c r="P159">
        <v>0</v>
      </c>
      <c r="Q159">
        <v>2000000</v>
      </c>
      <c r="R159">
        <v>0</v>
      </c>
      <c r="S159">
        <v>2000000</v>
      </c>
      <c r="T159">
        <v>2200000</v>
      </c>
      <c r="U159">
        <v>0</v>
      </c>
    </row>
    <row r="160" spans="1:21" x14ac:dyDescent="0.3">
      <c r="A160" t="s">
        <v>307</v>
      </c>
      <c r="B16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0">
        <v>4000000</v>
      </c>
      <c r="D160">
        <v>0</v>
      </c>
      <c r="E160">
        <v>0</v>
      </c>
      <c r="F160">
        <v>4000000</v>
      </c>
      <c r="G160">
        <v>0</v>
      </c>
      <c r="H160">
        <v>4000000</v>
      </c>
      <c r="I160">
        <v>4400000</v>
      </c>
      <c r="J160">
        <v>0</v>
      </c>
      <c r="L160" t="s">
        <v>334</v>
      </c>
      <c r="M16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0">
        <v>1500000</v>
      </c>
      <c r="O160">
        <v>0</v>
      </c>
      <c r="P160">
        <v>0</v>
      </c>
      <c r="Q160">
        <v>1500000</v>
      </c>
      <c r="R160">
        <v>0</v>
      </c>
      <c r="S160">
        <v>1500000</v>
      </c>
      <c r="T160">
        <v>1650000</v>
      </c>
      <c r="U160">
        <v>225000</v>
      </c>
    </row>
    <row r="161" spans="1:21" x14ac:dyDescent="0.3">
      <c r="A161" t="s">
        <v>309</v>
      </c>
      <c r="B16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1">
        <v>4000000</v>
      </c>
      <c r="D161">
        <v>0</v>
      </c>
      <c r="E161">
        <v>0</v>
      </c>
      <c r="F161">
        <v>4000000</v>
      </c>
      <c r="G161">
        <v>0</v>
      </c>
      <c r="H161">
        <v>4000000</v>
      </c>
      <c r="I161">
        <v>4400000</v>
      </c>
      <c r="J161">
        <v>0</v>
      </c>
      <c r="L161" t="s">
        <v>337</v>
      </c>
      <c r="M16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1">
        <v>500000</v>
      </c>
      <c r="O161">
        <v>0</v>
      </c>
      <c r="P161">
        <v>0</v>
      </c>
      <c r="Q161">
        <v>500000</v>
      </c>
      <c r="R161">
        <v>0</v>
      </c>
      <c r="S161">
        <v>500000</v>
      </c>
      <c r="T161">
        <v>550000</v>
      </c>
      <c r="U161">
        <v>0</v>
      </c>
    </row>
    <row r="162" spans="1:21" x14ac:dyDescent="0.3">
      <c r="A162" t="s">
        <v>311</v>
      </c>
      <c r="B16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2">
        <v>4000000</v>
      </c>
      <c r="D162">
        <v>0</v>
      </c>
      <c r="E162">
        <v>0</v>
      </c>
      <c r="F162">
        <v>4000000</v>
      </c>
      <c r="G162">
        <v>0</v>
      </c>
      <c r="H162">
        <v>4000000</v>
      </c>
      <c r="I162">
        <v>4400000</v>
      </c>
      <c r="J162">
        <v>600000</v>
      </c>
      <c r="L162" t="s">
        <v>338</v>
      </c>
      <c r="M16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2">
        <v>500000</v>
      </c>
      <c r="O162">
        <v>0</v>
      </c>
      <c r="P162">
        <v>0</v>
      </c>
      <c r="Q162">
        <v>500000</v>
      </c>
      <c r="R162">
        <v>0</v>
      </c>
      <c r="S162">
        <v>500000</v>
      </c>
      <c r="T162">
        <v>550000</v>
      </c>
      <c r="U162">
        <v>0</v>
      </c>
    </row>
    <row r="163" spans="1:21" x14ac:dyDescent="0.3">
      <c r="A163" t="s">
        <v>313</v>
      </c>
      <c r="B16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3">
        <v>3500000</v>
      </c>
      <c r="D163">
        <v>0</v>
      </c>
      <c r="E163">
        <v>-1820000</v>
      </c>
      <c r="F163">
        <v>1680000</v>
      </c>
      <c r="G163">
        <v>0</v>
      </c>
      <c r="H163">
        <v>1680000</v>
      </c>
      <c r="I163">
        <v>1848000</v>
      </c>
      <c r="J163">
        <v>0</v>
      </c>
      <c r="L163" t="s">
        <v>244</v>
      </c>
      <c r="M16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3">
      <c r="A164" t="s">
        <v>321</v>
      </c>
      <c r="B16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4">
        <v>2500000</v>
      </c>
      <c r="D164">
        <v>0</v>
      </c>
      <c r="E164">
        <v>0</v>
      </c>
      <c r="F164">
        <v>2500000</v>
      </c>
      <c r="G164">
        <v>0</v>
      </c>
      <c r="H164">
        <v>2500000</v>
      </c>
      <c r="I164">
        <v>2750000</v>
      </c>
      <c r="J164">
        <v>375000</v>
      </c>
      <c r="L164" t="s">
        <v>133</v>
      </c>
      <c r="M16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3">
      <c r="A165" t="s">
        <v>304</v>
      </c>
      <c r="B16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5">
        <v>2000000</v>
      </c>
      <c r="D165">
        <v>0</v>
      </c>
      <c r="E165">
        <v>0</v>
      </c>
      <c r="F165">
        <v>2000000</v>
      </c>
      <c r="G165">
        <v>0</v>
      </c>
      <c r="H165">
        <v>2000000</v>
      </c>
      <c r="I165">
        <v>2200000</v>
      </c>
      <c r="J165">
        <v>0</v>
      </c>
      <c r="L165" t="s">
        <v>303</v>
      </c>
      <c r="M16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3">
      <c r="A166" t="s">
        <v>290</v>
      </c>
      <c r="B16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6">
        <v>2000000</v>
      </c>
      <c r="D166">
        <v>0</v>
      </c>
      <c r="E166">
        <v>0</v>
      </c>
      <c r="F166">
        <v>2000000</v>
      </c>
      <c r="G166">
        <v>0</v>
      </c>
      <c r="H166">
        <v>2000000</v>
      </c>
      <c r="I166">
        <v>2200000</v>
      </c>
      <c r="J166">
        <v>300000</v>
      </c>
      <c r="L166" t="s">
        <v>341</v>
      </c>
      <c r="M16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3">
      <c r="A167" t="s">
        <v>239</v>
      </c>
      <c r="B16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7">
        <v>2000000</v>
      </c>
      <c r="D167">
        <v>0</v>
      </c>
      <c r="E167">
        <v>0</v>
      </c>
      <c r="F167">
        <v>2000000</v>
      </c>
      <c r="G167">
        <v>0</v>
      </c>
      <c r="H167">
        <v>2000000</v>
      </c>
      <c r="I167">
        <v>2200000</v>
      </c>
      <c r="J167">
        <v>300000</v>
      </c>
      <c r="L167" t="s">
        <v>342</v>
      </c>
      <c r="M16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3">
      <c r="A168" t="s">
        <v>310</v>
      </c>
      <c r="B16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8">
        <v>2000000</v>
      </c>
      <c r="D168">
        <v>0</v>
      </c>
      <c r="E168">
        <v>0</v>
      </c>
      <c r="F168">
        <v>2000000</v>
      </c>
      <c r="G168">
        <v>0</v>
      </c>
      <c r="H168">
        <v>2000000</v>
      </c>
      <c r="I168">
        <v>2200000</v>
      </c>
      <c r="J168">
        <v>0</v>
      </c>
      <c r="L168" t="s">
        <v>343</v>
      </c>
      <c r="M16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3">
      <c r="A169" t="s">
        <v>339</v>
      </c>
      <c r="B16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L169" t="s">
        <v>346</v>
      </c>
      <c r="M16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3">
      <c r="A170" t="s">
        <v>340</v>
      </c>
      <c r="B17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L170" t="s">
        <v>348</v>
      </c>
      <c r="M17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3">
      <c r="A171" t="s">
        <v>341</v>
      </c>
      <c r="B17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L171" t="s">
        <v>351</v>
      </c>
      <c r="M17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3">
      <c r="A172" t="s">
        <v>349</v>
      </c>
      <c r="B17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L172" t="s">
        <v>292</v>
      </c>
      <c r="M17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3">
      <c r="A173" t="s">
        <v>352</v>
      </c>
      <c r="B17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L173" t="s">
        <v>359</v>
      </c>
      <c r="M17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3">
      <c r="A174" t="s">
        <v>353</v>
      </c>
      <c r="B17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L174" t="s">
        <v>364</v>
      </c>
      <c r="M17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3">
      <c r="A175" t="s">
        <v>280</v>
      </c>
      <c r="B17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L175" t="s">
        <v>365</v>
      </c>
      <c r="M17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3">
      <c r="A176" t="s">
        <v>136</v>
      </c>
      <c r="B17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L176" t="s">
        <v>366</v>
      </c>
      <c r="M17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3">
      <c r="A177" t="s">
        <v>355</v>
      </c>
      <c r="B177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디올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L177" t="s">
        <v>367</v>
      </c>
      <c r="M17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3">
      <c r="A178" t="s">
        <v>356</v>
      </c>
      <c r="B178" t="str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디올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L178" t="s">
        <v>371</v>
      </c>
      <c r="M17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3">
      <c r="A179" t="s">
        <v>357</v>
      </c>
      <c r="B17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L179" t="s">
        <v>374</v>
      </c>
      <c r="M17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3">
      <c r="A180" t="s">
        <v>358</v>
      </c>
      <c r="B18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L180" t="s">
        <v>375</v>
      </c>
      <c r="M18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3">
      <c r="A181" t="s">
        <v>292</v>
      </c>
      <c r="B18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L181" t="s">
        <v>378</v>
      </c>
      <c r="M18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3">
      <c r="A182" t="s">
        <v>359</v>
      </c>
      <c r="B18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L182" t="s">
        <v>380</v>
      </c>
      <c r="M18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3">
      <c r="A183" t="s">
        <v>360</v>
      </c>
      <c r="B18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L183" t="s">
        <v>384</v>
      </c>
      <c r="M18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3">
      <c r="A184" t="s">
        <v>361</v>
      </c>
      <c r="B18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L184" t="s">
        <v>385</v>
      </c>
      <c r="M18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3">
      <c r="A185" t="s">
        <v>362</v>
      </c>
      <c r="B18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5">
        <v>0</v>
      </c>
      <c r="D185">
        <v>0</v>
      </c>
      <c r="E185">
        <v>0</v>
      </c>
      <c r="F185">
        <v>0</v>
      </c>
      <c r="G185">
        <v>30000000</v>
      </c>
      <c r="H185">
        <v>30000000</v>
      </c>
      <c r="I185">
        <v>33000000</v>
      </c>
      <c r="J185">
        <v>0</v>
      </c>
      <c r="L185" t="s">
        <v>170</v>
      </c>
      <c r="M18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3">
      <c r="A186" t="s">
        <v>367</v>
      </c>
      <c r="B18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L186" t="s">
        <v>390</v>
      </c>
      <c r="M18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900000</v>
      </c>
    </row>
    <row r="187" spans="1:21" x14ac:dyDescent="0.3">
      <c r="A187" t="s">
        <v>368</v>
      </c>
      <c r="B18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L187" t="s">
        <v>392</v>
      </c>
      <c r="M18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3">
      <c r="A188" t="s">
        <v>371</v>
      </c>
      <c r="B18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L188" t="s">
        <v>393</v>
      </c>
      <c r="M18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3">
      <c r="A189" t="s">
        <v>372</v>
      </c>
      <c r="B18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L189" t="s">
        <v>394</v>
      </c>
      <c r="M18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3">
      <c r="A190" t="s">
        <v>373</v>
      </c>
      <c r="B19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L190" t="s">
        <v>76</v>
      </c>
      <c r="M19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3">
      <c r="A191" t="s">
        <v>376</v>
      </c>
      <c r="B19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L191" t="s">
        <v>396</v>
      </c>
      <c r="M19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3">
      <c r="A192" t="s">
        <v>379</v>
      </c>
      <c r="B19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L192" t="s">
        <v>398</v>
      </c>
      <c r="M19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3">
      <c r="A193" t="s">
        <v>381</v>
      </c>
      <c r="B19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L193" t="s">
        <v>128</v>
      </c>
      <c r="M19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3">
      <c r="A194" t="s">
        <v>383</v>
      </c>
      <c r="B19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L194" t="s">
        <v>401</v>
      </c>
      <c r="M19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3">
      <c r="A195" t="s">
        <v>385</v>
      </c>
      <c r="B19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L195" t="s">
        <v>406</v>
      </c>
      <c r="M19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3">
      <c r="A196" t="s">
        <v>282</v>
      </c>
      <c r="B19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L196" t="s">
        <v>411</v>
      </c>
      <c r="M19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3">
      <c r="A197" t="s">
        <v>389</v>
      </c>
      <c r="B19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L197" t="s">
        <v>414</v>
      </c>
      <c r="M19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3">
      <c r="A198" t="s">
        <v>395</v>
      </c>
      <c r="B19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L198" t="s">
        <v>417</v>
      </c>
      <c r="M19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3">
      <c r="A199" t="s">
        <v>397</v>
      </c>
      <c r="B19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L199" t="s">
        <v>18</v>
      </c>
      <c r="M19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199">
        <v>0</v>
      </c>
      <c r="O199">
        <v>0</v>
      </c>
      <c r="P199">
        <v>0</v>
      </c>
      <c r="Q199">
        <v>0</v>
      </c>
      <c r="R199">
        <v>10000000</v>
      </c>
      <c r="S199">
        <v>10000000</v>
      </c>
      <c r="T199">
        <v>11000000</v>
      </c>
      <c r="U199">
        <v>0</v>
      </c>
    </row>
    <row r="200" spans="1:21" x14ac:dyDescent="0.3">
      <c r="A200" t="s">
        <v>399</v>
      </c>
      <c r="B20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L200" t="s">
        <v>421</v>
      </c>
      <c r="M20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3">
      <c r="A201" t="s">
        <v>404</v>
      </c>
      <c r="B20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L201" t="s">
        <v>423</v>
      </c>
      <c r="M20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3">
      <c r="A202" t="s">
        <v>405</v>
      </c>
      <c r="B20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L202" t="s">
        <v>262</v>
      </c>
      <c r="M20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3">
      <c r="A203" t="s">
        <v>317</v>
      </c>
      <c r="B20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L203" t="s">
        <v>424</v>
      </c>
      <c r="M20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3">
      <c r="A204" t="s">
        <v>407</v>
      </c>
      <c r="B20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L204" t="s">
        <v>425</v>
      </c>
      <c r="M20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3">
      <c r="A205" t="s">
        <v>408</v>
      </c>
      <c r="B20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L205" t="s">
        <v>427</v>
      </c>
      <c r="M20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3">
      <c r="A206" t="s">
        <v>410</v>
      </c>
      <c r="B20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L206" t="s">
        <v>428</v>
      </c>
      <c r="M20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3">
      <c r="A207" t="s">
        <v>411</v>
      </c>
      <c r="B20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L207" t="s">
        <v>431</v>
      </c>
      <c r="M20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3">
      <c r="A208" t="s">
        <v>412</v>
      </c>
      <c r="B20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L208" t="s">
        <v>432</v>
      </c>
      <c r="M20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3">
      <c r="A209" t="s">
        <v>417</v>
      </c>
      <c r="B20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L209" t="s">
        <v>435</v>
      </c>
      <c r="M20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3">
      <c r="A210" t="s">
        <v>42</v>
      </c>
      <c r="B21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L210" t="s">
        <v>436</v>
      </c>
      <c r="M21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3">
      <c r="A211" t="s">
        <v>418</v>
      </c>
      <c r="B21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L211" t="s">
        <v>264</v>
      </c>
      <c r="M21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1">
        <v>0</v>
      </c>
      <c r="O211">
        <v>0</v>
      </c>
      <c r="P211">
        <v>0</v>
      </c>
      <c r="Q211">
        <v>0</v>
      </c>
      <c r="R211">
        <v>8000000</v>
      </c>
      <c r="S211">
        <v>8000000</v>
      </c>
      <c r="T211">
        <v>8800000</v>
      </c>
      <c r="U211">
        <v>0</v>
      </c>
    </row>
    <row r="212" spans="1:21" x14ac:dyDescent="0.3">
      <c r="A212" t="s">
        <v>420</v>
      </c>
      <c r="B21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L212" t="s">
        <v>447</v>
      </c>
      <c r="M21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3">
      <c r="A213" t="s">
        <v>422</v>
      </c>
      <c r="B21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L213" t="s">
        <v>452</v>
      </c>
      <c r="M21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3">
      <c r="A214" t="s">
        <v>425</v>
      </c>
      <c r="B21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L214" t="s">
        <v>453</v>
      </c>
      <c r="M21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3">
      <c r="A215" t="s">
        <v>427</v>
      </c>
      <c r="B21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L215" t="s">
        <v>454</v>
      </c>
      <c r="M21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3">
      <c r="A216" t="s">
        <v>157</v>
      </c>
      <c r="B21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1800000</v>
      </c>
      <c r="L216" t="s">
        <v>455</v>
      </c>
      <c r="M216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3">
      <c r="A217" t="s">
        <v>430</v>
      </c>
      <c r="B21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L217" t="s">
        <v>456</v>
      </c>
      <c r="M217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3">
      <c r="A218" t="s">
        <v>434</v>
      </c>
      <c r="B21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L218" t="s">
        <v>459</v>
      </c>
      <c r="M218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3">
      <c r="A219" t="s">
        <v>437</v>
      </c>
      <c r="B21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L219" t="s">
        <v>120</v>
      </c>
      <c r="M219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3">
      <c r="A220" t="s">
        <v>440</v>
      </c>
      <c r="B22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L220" t="s">
        <v>462</v>
      </c>
      <c r="M220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3">
      <c r="A221" t="s">
        <v>441</v>
      </c>
      <c r="B22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L221" t="s">
        <v>463</v>
      </c>
      <c r="M221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3">
      <c r="A222" t="s">
        <v>145</v>
      </c>
      <c r="B22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L222" t="s">
        <v>66</v>
      </c>
      <c r="M222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3">
      <c r="A223" t="s">
        <v>167</v>
      </c>
      <c r="B22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L223" t="s">
        <v>464</v>
      </c>
      <c r="M223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3">
      <c r="A224" t="s">
        <v>444</v>
      </c>
      <c r="B22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L224" t="s">
        <v>465</v>
      </c>
      <c r="M224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3">
      <c r="A225" t="s">
        <v>447</v>
      </c>
      <c r="B22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L225" t="s">
        <v>466</v>
      </c>
      <c r="M225" t="b">
        <f>IF(ISNUMBER(SEARCH("프라다", 마리20[[#This Row],[브랜드]])), "프라다", IF(ISNUMBER(SEARCH("에르메스", 마리20[[#This Row],[브랜드]])), "에르메스", IF(ISNUMBER(SEARCH("디올", 마리20[[#This Row],[브랜드]])), "디올", IF(ISNUMBER(SEARCH("샤넬",마리20[[#This Row],[브랜드]])), "샤넬", IF(ISNUMBER(SEARCH("루이비통", 마리20[[#This Row],[브랜드]])), "루이비통")))))</f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3">
      <c r="A226" t="s">
        <v>242</v>
      </c>
      <c r="B22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21" x14ac:dyDescent="0.3">
      <c r="A227" t="s">
        <v>56</v>
      </c>
      <c r="B22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7">
        <v>0</v>
      </c>
      <c r="D227">
        <v>0</v>
      </c>
      <c r="E227">
        <v>0</v>
      </c>
      <c r="F227">
        <v>0</v>
      </c>
      <c r="G227">
        <v>10000000</v>
      </c>
      <c r="H227">
        <v>10000000</v>
      </c>
      <c r="I227">
        <v>11000000</v>
      </c>
      <c r="J227">
        <v>0</v>
      </c>
    </row>
    <row r="228" spans="1:21" x14ac:dyDescent="0.3">
      <c r="A228" t="s">
        <v>450</v>
      </c>
      <c r="B22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21" x14ac:dyDescent="0.3">
      <c r="A229" t="s">
        <v>451</v>
      </c>
      <c r="B22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21" x14ac:dyDescent="0.3">
      <c r="A230" t="s">
        <v>452</v>
      </c>
      <c r="B23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21" x14ac:dyDescent="0.3">
      <c r="A231" t="s">
        <v>454</v>
      </c>
      <c r="B23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21" x14ac:dyDescent="0.3">
      <c r="A232" t="s">
        <v>457</v>
      </c>
      <c r="B23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21" x14ac:dyDescent="0.3">
      <c r="A233" t="s">
        <v>459</v>
      </c>
      <c r="B233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21" x14ac:dyDescent="0.3">
      <c r="A234" t="s">
        <v>460</v>
      </c>
      <c r="B234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21" x14ac:dyDescent="0.3">
      <c r="A235" t="s">
        <v>93</v>
      </c>
      <c r="B235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21" x14ac:dyDescent="0.3">
      <c r="A236" t="s">
        <v>466</v>
      </c>
      <c r="B236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21" x14ac:dyDescent="0.3">
      <c r="A237" t="s">
        <v>467</v>
      </c>
      <c r="B237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21" x14ac:dyDescent="0.3">
      <c r="A238" t="s">
        <v>181</v>
      </c>
      <c r="B238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21" x14ac:dyDescent="0.3">
      <c r="A239" t="s">
        <v>469</v>
      </c>
      <c r="B239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21" x14ac:dyDescent="0.3">
      <c r="A240" t="s">
        <v>470</v>
      </c>
      <c r="B240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3">
      <c r="A241" t="s">
        <v>471</v>
      </c>
      <c r="B241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 x14ac:dyDescent="0.3">
      <c r="A242" t="s">
        <v>472</v>
      </c>
      <c r="B242" t="b">
        <f>IF(ISNUMBER(SEARCH("프라다", 마리21[[#This Row],[브랜드]])), "프라다", IF(ISNUMBER(SEARCH("에르메스", 마리21[[#This Row],[브랜드]])), "에르메스", IF(ISNUMBER(SEARCH("디올", 마리21[[#This Row],[브랜드]])), "디올", IF(ISNUMBER(SEARCH("샤넬",마리21[[#This Row],[브랜드]])), "샤넬", IF(ISNUMBER(SEARCH("루이비통", 마리21[[#This Row],[브랜드]])), "루이비통")))))</f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보고서</vt:lpstr>
      <vt:lpstr>자료입력</vt:lpstr>
      <vt:lpstr>BackData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박한빈</dc:creator>
  <cp:lastModifiedBy>윤 형석</cp:lastModifiedBy>
  <dcterms:created xsi:type="dcterms:W3CDTF">2022-04-25T07:03:28Z</dcterms:created>
  <dcterms:modified xsi:type="dcterms:W3CDTF">2022-04-26T07:08:27Z</dcterms:modified>
</cp:coreProperties>
</file>